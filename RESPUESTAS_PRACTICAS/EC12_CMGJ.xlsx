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arlos\mundofisico\"/>
    </mc:Choice>
  </mc:AlternateContent>
  <xr:revisionPtr revIDLastSave="0" documentId="13_ncr:1_{3F5AD981-8D0B-4F35-812B-F123A01BCADF}" xr6:coauthVersionLast="47" xr6:coauthVersionMax="47" xr10:uidLastSave="{00000000-0000-0000-0000-000000000000}"/>
  <bookViews>
    <workbookView xWindow="28680" yWindow="-120" windowWidth="29040" windowHeight="15840" tabRatio="660" activeTab="3" xr2:uid="{00000000-000D-0000-FFFF-FFFF00000000}"/>
  </bookViews>
  <sheets>
    <sheet name="MEDIDAS_ADC" sheetId="2" r:id="rId1"/>
    <sheet name="MEDIDAS_ADC _A0_ERROR (EC12a)" sheetId="4" r:id="rId2"/>
    <sheet name="MEDIDAS_ADC_A0_CALIBRAR(EC12b1)" sheetId="5" r:id="rId3"/>
    <sheet name="MEDIDAS_ADC_A10_CALIBRAR(EC12b2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5" l="1"/>
  <c r="M13" i="7"/>
  <c r="M11" i="7"/>
  <c r="M9" i="7"/>
  <c r="J9" i="7"/>
  <c r="J20" i="7"/>
  <c r="J21" i="7"/>
  <c r="J22" i="7"/>
  <c r="J19" i="7"/>
  <c r="J15" i="7"/>
  <c r="J16" i="7"/>
  <c r="J17" i="7"/>
  <c r="J14" i="7"/>
  <c r="J10" i="7"/>
  <c r="J11" i="7"/>
  <c r="J12" i="7"/>
  <c r="J30" i="5"/>
  <c r="O30" i="5" s="1"/>
  <c r="P30" i="5" s="1"/>
  <c r="J28" i="5"/>
  <c r="O28" i="5" s="1"/>
  <c r="P28" i="5" s="1"/>
  <c r="J26" i="5"/>
  <c r="O26" i="5" s="1"/>
  <c r="P26" i="5" s="1"/>
  <c r="O24" i="5"/>
  <c r="P24" i="5" s="1"/>
  <c r="J22" i="5"/>
  <c r="O22" i="5" s="1"/>
  <c r="P22" i="5" s="1"/>
  <c r="J20" i="5"/>
  <c r="O20" i="5" s="1"/>
  <c r="P20" i="5" s="1"/>
  <c r="J18" i="5"/>
  <c r="O18" i="5" s="1"/>
  <c r="P18" i="5" s="1"/>
  <c r="J16" i="5"/>
  <c r="O16" i="5" s="1"/>
  <c r="P16" i="5" s="1"/>
  <c r="J14" i="5"/>
  <c r="O14" i="5" s="1"/>
  <c r="P14" i="5" s="1"/>
  <c r="J12" i="5"/>
  <c r="J10" i="5"/>
  <c r="O10" i="5" s="1"/>
  <c r="P10" i="5" s="1"/>
  <c r="J8" i="5"/>
  <c r="O8" i="5" s="1"/>
  <c r="P8" i="5" s="1"/>
  <c r="O12" i="5"/>
  <c r="P12" i="5" s="1"/>
  <c r="L10" i="5"/>
  <c r="L12" i="5"/>
  <c r="L14" i="5"/>
  <c r="L16" i="5"/>
  <c r="L18" i="5"/>
  <c r="L20" i="5"/>
  <c r="L22" i="5"/>
  <c r="L24" i="5"/>
  <c r="L26" i="5"/>
  <c r="L28" i="5"/>
  <c r="L30" i="5"/>
  <c r="L8" i="5"/>
  <c r="L5" i="5"/>
  <c r="I5" i="4"/>
  <c r="I14" i="4" s="1"/>
  <c r="L14" i="4" s="1"/>
  <c r="M14" i="4" s="1"/>
  <c r="K19" i="7" l="1"/>
  <c r="K14" i="7"/>
  <c r="K9" i="7"/>
  <c r="J22" i="4"/>
  <c r="O22" i="4" s="1"/>
  <c r="P22" i="4" s="1"/>
  <c r="J26" i="4"/>
  <c r="O26" i="4" s="1"/>
  <c r="P26" i="4" s="1"/>
  <c r="J10" i="4"/>
  <c r="O10" i="4" s="1"/>
  <c r="P10" i="4" s="1"/>
  <c r="J24" i="4"/>
  <c r="O24" i="4" s="1"/>
  <c r="P24" i="4" s="1"/>
  <c r="J8" i="4"/>
  <c r="O8" i="4" s="1"/>
  <c r="P8" i="4" s="1"/>
  <c r="J16" i="4"/>
  <c r="O16" i="4" s="1"/>
  <c r="P16" i="4" s="1"/>
  <c r="J20" i="4"/>
  <c r="O20" i="4" s="1"/>
  <c r="P20" i="4" s="1"/>
  <c r="J18" i="4"/>
  <c r="O18" i="4" s="1"/>
  <c r="P18" i="4" s="1"/>
  <c r="J30" i="4"/>
  <c r="O30" i="4" s="1"/>
  <c r="P30" i="4" s="1"/>
  <c r="J14" i="4"/>
  <c r="O14" i="4" s="1"/>
  <c r="P14" i="4" s="1"/>
  <c r="J28" i="4"/>
  <c r="O28" i="4" s="1"/>
  <c r="P28" i="4" s="1"/>
  <c r="J12" i="4"/>
  <c r="O12" i="4" s="1"/>
  <c r="P12" i="4" s="1"/>
  <c r="I10" i="4"/>
  <c r="L10" i="4" s="1"/>
  <c r="M10" i="4" s="1"/>
  <c r="I26" i="4"/>
  <c r="L26" i="4" s="1"/>
  <c r="M26" i="4" s="1"/>
  <c r="I18" i="4"/>
  <c r="L18" i="4" s="1"/>
  <c r="M18" i="4" s="1"/>
  <c r="I28" i="4"/>
  <c r="L28" i="4" s="1"/>
  <c r="M28" i="4" s="1"/>
  <c r="I24" i="4"/>
  <c r="L24" i="4" s="1"/>
  <c r="M24" i="4" s="1"/>
  <c r="I22" i="4"/>
  <c r="L22" i="4" s="1"/>
  <c r="M22" i="4" s="1"/>
  <c r="I8" i="4"/>
  <c r="L8" i="4" s="1"/>
  <c r="M8" i="4" s="1"/>
  <c r="I20" i="4"/>
  <c r="L20" i="4" s="1"/>
  <c r="M20" i="4" s="1"/>
  <c r="I12" i="4"/>
  <c r="L12" i="4" s="1"/>
  <c r="M12" i="4" s="1"/>
  <c r="I16" i="4"/>
  <c r="L16" i="4" s="1"/>
  <c r="M16" i="4" s="1"/>
  <c r="I30" i="4"/>
  <c r="L30" i="4" s="1"/>
  <c r="M3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González Parada</author>
  </authors>
  <commentList>
    <comment ref="F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Eva González Parada:</t>
        </r>
        <r>
          <rPr>
            <sz val="9"/>
            <color indexed="81"/>
            <rFont val="Tahoma"/>
            <family val="2"/>
          </rPr>
          <t xml:space="preserve">
En esta columna se muestran para las referencias 2,5; 2,0 y 1.5 el valor que devuelve el ADC para la tensión de entrada introducida en el canal A0</t>
        </r>
      </text>
    </comment>
    <comment ref="G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Eva González Parada:</t>
        </r>
        <r>
          <rPr>
            <sz val="9"/>
            <color indexed="81"/>
            <rFont val="Tahoma"/>
            <family val="2"/>
          </rPr>
          <t xml:space="preserve">
En esta columna se muestra para la referencia Vcc el valor que devuelve el ADC para la tensión de entrada introducida en el canal A0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González Parada</author>
  </authors>
  <commentList>
    <comment ref="J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Eva González Parada:</t>
        </r>
        <r>
          <rPr>
            <sz val="9"/>
            <color indexed="81"/>
            <rFont val="Tahoma"/>
            <family val="2"/>
          </rPr>
          <t xml:space="preserve">
En esta columna se debe incluir el resultado de realizar el proceso de calibración a los resultados de cionversión de la columna H con los valores de las  constantes de calibración que aparecen en la columna C.</t>
        </r>
      </text>
    </comment>
  </commentList>
</comments>
</file>

<file path=xl/sharedStrings.xml><?xml version="1.0" encoding="utf-8"?>
<sst xmlns="http://schemas.openxmlformats.org/spreadsheetml/2006/main" count="236" uniqueCount="58">
  <si>
    <t>Vcc</t>
  </si>
  <si>
    <t>A0</t>
  </si>
  <si>
    <t>A11 (Batt)</t>
  </si>
  <si>
    <t>A10 (Temp)</t>
  </si>
  <si>
    <t>Canal</t>
  </si>
  <si>
    <t>Medida ADC (resultado conversión)</t>
  </si>
  <si>
    <t>Referencia Int (V)</t>
  </si>
  <si>
    <t>Error ( LSB) Referencias Internas</t>
  </si>
  <si>
    <t>CAL_ADC_OFFSET</t>
  </si>
  <si>
    <t xml:space="preserve">Parámetro de calibración </t>
  </si>
  <si>
    <t>valor</t>
  </si>
  <si>
    <t>CAL_ADC_GAIN_FACTOR</t>
  </si>
  <si>
    <t>CAL_ADC15REF_T30</t>
  </si>
  <si>
    <t>CAL_ADC15REF_FACTOR</t>
  </si>
  <si>
    <t>CAL_ADC20REF_FACTOR</t>
  </si>
  <si>
    <t>CAL_ADC25REF_FACTOR</t>
  </si>
  <si>
    <t>CAL_ADC20REF_T30</t>
  </si>
  <si>
    <t>CAL_ADC25REF_T30</t>
  </si>
  <si>
    <t>CAL_ADC25REF_T85</t>
  </si>
  <si>
    <t>CAL_ADC20REF_T85</t>
  </si>
  <si>
    <t>CAL_ADC15REF_T85</t>
  </si>
  <si>
    <t>Errores con medidas calibradas</t>
  </si>
  <si>
    <t>Medidas tras la calibración</t>
  </si>
  <si>
    <t>Medida ADC  ºC</t>
  </si>
  <si>
    <t>BLOQUES DE MEDIDAS</t>
  </si>
  <si>
    <t>TOTAL DE MEDIDAS REALIZADAS CANALES A0, A10, A11 CON DISTINTAS REFERENCIAS</t>
  </si>
  <si>
    <t xml:space="preserve">CÁLCULOS RESPUESTA A  EC12b1 </t>
  </si>
  <si>
    <t>CÁLCULOS RESPUESTA A EC12b2</t>
  </si>
  <si>
    <t>Medida Multímetro  A0 (V)</t>
  </si>
  <si>
    <t>Medida Multímetro A0 (V)</t>
  </si>
  <si>
    <t>Medida ADC calibradas</t>
  </si>
  <si>
    <t>2,5V (Int Ref)</t>
  </si>
  <si>
    <t>2,0V (Int Ref)</t>
  </si>
  <si>
    <t>1,5V (Int Ref)</t>
  </si>
  <si>
    <t>REFERENCIAS  INTERNAS(2,5;2,0 y 1,5)</t>
  </si>
  <si>
    <t>MEDIDA 1</t>
  </si>
  <si>
    <t>MEDIDA 2</t>
  </si>
  <si>
    <t>MEDIDA 3</t>
  </si>
  <si>
    <t>MEDIDA 4</t>
  </si>
  <si>
    <t>Error ( LSB) Ref. Internas</t>
  </si>
  <si>
    <t>Error (LSB) Ref.  Vcc</t>
  </si>
  <si>
    <t>Error( mV) Ref. Internas</t>
  </si>
  <si>
    <t>Error (mV) Ref.  Vcc</t>
  </si>
  <si>
    <t>REFERENCIAS  INTERNAS (2,5;2,0; 1,5)</t>
  </si>
  <si>
    <t>Error (mV) Referencias Internas</t>
  </si>
  <si>
    <t>REFERENCIA VCC=3,3V</t>
  </si>
  <si>
    <t xml:space="preserve">CÁLCULOS RESPUESTA A LA CUESTIÓN EC12a </t>
  </si>
  <si>
    <t>N ideal Int</t>
  </si>
  <si>
    <t>N ideal Vcc</t>
  </si>
  <si>
    <t>Al ser la tensión de entrada mayor que la tensión de referencia, el convertidor alcanza su valor máximo digital y no puede representar el exceso de voltaje.</t>
  </si>
  <si>
    <t>No es posible, esto se debe a que el resultado sería constante ya que al variar (aumentar o disminuir) la referencia también lo hará el valor de salida del divisor haciendo que el sistema no detecte la caída de tensión de la batería.</t>
  </si>
  <si>
    <t>Pregunta 1:</t>
  </si>
  <si>
    <t>Pregunta 2:</t>
  </si>
  <si>
    <r>
      <t xml:space="preserve">El error más elevado se encuentra en el par </t>
    </r>
    <r>
      <rPr>
        <sz val="11"/>
        <color theme="1"/>
        <rFont val="Arial"/>
        <family val="2"/>
      </rPr>
      <t>Vin = 2,1754V con Referencia interna de 1,5V</t>
    </r>
    <r>
      <rPr>
        <sz val="11"/>
        <color theme="1"/>
        <rFont val="Calibri"/>
        <family val="2"/>
        <scheme val="minor"/>
      </rPr>
      <t xml:space="preserve">, alcanzando un error de </t>
    </r>
    <r>
      <rPr>
        <sz val="11"/>
        <color theme="1"/>
        <rFont val="Arial"/>
        <family val="2"/>
      </rPr>
      <t>1843,84 LSB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Arial"/>
        <family val="2"/>
      </rPr>
      <t>675,4mV</t>
    </r>
    <r>
      <rPr>
        <sz val="11"/>
        <color theme="1"/>
        <rFont val="Calibri"/>
        <family val="2"/>
        <scheme val="minor"/>
      </rPr>
      <t>).</t>
    </r>
  </si>
  <si>
    <t>Nideal</t>
  </si>
  <si>
    <t>Tcalib</t>
  </si>
  <si>
    <t>Mean</t>
  </si>
  <si>
    <t>Suponemos Vcc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</si>
</sst>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164" fontId="0" fillId="0" borderId="0" xfId="0" applyNumberFormat="1"/>
    <xf numFmtId="164" fontId="3" fillId="0" borderId="4" xfId="0" applyNumberFormat="1" applyFont="1" applyBorder="1" applyAlignment="1">
      <alignment horizontal="justify" vertical="center" wrapText="1"/>
    </xf>
    <xf numFmtId="164" fontId="0" fillId="0" borderId="5" xfId="0" applyNumberFormat="1" applyBorder="1"/>
    <xf numFmtId="0" fontId="0" fillId="0" borderId="5" xfId="0" applyBorder="1"/>
    <xf numFmtId="0" fontId="2" fillId="4" borderId="4" xfId="0" applyFont="1" applyFill="1" applyBorder="1" applyAlignment="1">
      <alignment horizontal="justify" vertical="center" wrapText="1"/>
    </xf>
    <xf numFmtId="164" fontId="2" fillId="4" borderId="4" xfId="0" applyNumberFormat="1" applyFont="1" applyFill="1" applyBorder="1" applyAlignment="1">
      <alignment horizontal="justify" vertical="center" wrapText="1"/>
    </xf>
    <xf numFmtId="0" fontId="2" fillId="5" borderId="4" xfId="0" applyFont="1" applyFill="1" applyBorder="1" applyAlignment="1">
      <alignment horizontal="justify" vertical="center" wrapText="1"/>
    </xf>
    <xf numFmtId="164" fontId="2" fillId="5" borderId="4" xfId="0" applyNumberFormat="1" applyFont="1" applyFill="1" applyBorder="1" applyAlignment="1">
      <alignment horizontal="justify" vertical="center" wrapText="1"/>
    </xf>
    <xf numFmtId="0" fontId="2" fillId="7" borderId="4" xfId="0" applyFont="1" applyFill="1" applyBorder="1" applyAlignment="1">
      <alignment horizontal="justify" vertical="center" wrapText="1"/>
    </xf>
    <xf numFmtId="164" fontId="2" fillId="7" borderId="4" xfId="0" applyNumberFormat="1" applyFont="1" applyFill="1" applyBorder="1" applyAlignment="1">
      <alignment horizontal="justify" vertical="center" wrapText="1"/>
    </xf>
    <xf numFmtId="0" fontId="1" fillId="0" borderId="1" xfId="0" applyFont="1" applyBorder="1"/>
    <xf numFmtId="164" fontId="0" fillId="0" borderId="1" xfId="0" applyNumberFormat="1" applyBorder="1"/>
    <xf numFmtId="164" fontId="0" fillId="2" borderId="1" xfId="0" applyNumberFormat="1" applyFill="1" applyBorder="1"/>
    <xf numFmtId="164" fontId="1" fillId="0" borderId="1" xfId="0" applyNumberFormat="1" applyFont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7" borderId="1" xfId="0" applyNumberFormat="1" applyFill="1" applyBorder="1"/>
    <xf numFmtId="0" fontId="2" fillId="0" borderId="4" xfId="0" applyFont="1" applyBorder="1" applyAlignment="1">
      <alignment horizontal="justify" vertical="center" wrapText="1"/>
    </xf>
    <xf numFmtId="0" fontId="1" fillId="0" borderId="6" xfId="0" applyFont="1" applyBorder="1"/>
    <xf numFmtId="0" fontId="0" fillId="3" borderId="5" xfId="0" applyFill="1" applyBorder="1"/>
    <xf numFmtId="0" fontId="0" fillId="5" borderId="5" xfId="0" applyFill="1" applyBorder="1"/>
    <xf numFmtId="0" fontId="0" fillId="8" borderId="5" xfId="0" applyFill="1" applyBorder="1"/>
    <xf numFmtId="0" fontId="0" fillId="6" borderId="5" xfId="0" applyFill="1" applyBorder="1"/>
    <xf numFmtId="164" fontId="1" fillId="0" borderId="0" xfId="0" applyNumberFormat="1" applyFont="1"/>
    <xf numFmtId="164" fontId="3" fillId="0" borderId="0" xfId="0" applyNumberFormat="1" applyFont="1" applyAlignment="1">
      <alignment horizontal="justify" vertical="center" wrapText="1"/>
    </xf>
    <xf numFmtId="164" fontId="2" fillId="4" borderId="0" xfId="0" applyNumberFormat="1" applyFont="1" applyFill="1" applyAlignment="1">
      <alignment horizontal="justify" vertical="center" wrapText="1"/>
    </xf>
    <xf numFmtId="164" fontId="2" fillId="5" borderId="0" xfId="0" applyNumberFormat="1" applyFont="1" applyFill="1" applyAlignment="1">
      <alignment horizontal="justify" vertical="center" wrapText="1"/>
    </xf>
    <xf numFmtId="164" fontId="2" fillId="7" borderId="0" xfId="0" applyNumberFormat="1" applyFont="1" applyFill="1" applyAlignment="1">
      <alignment horizontal="justify" vertical="center" wrapText="1"/>
    </xf>
    <xf numFmtId="164" fontId="1" fillId="0" borderId="1" xfId="0" applyNumberFormat="1" applyFont="1" applyBorder="1" applyAlignment="1">
      <alignment horizontal="center"/>
    </xf>
    <xf numFmtId="164" fontId="2" fillId="9" borderId="0" xfId="0" applyNumberFormat="1" applyFont="1" applyFill="1" applyAlignment="1">
      <alignment horizontal="justify" vertical="center" wrapText="1"/>
    </xf>
    <xf numFmtId="164" fontId="3" fillId="0" borderId="1" xfId="0" applyNumberFormat="1" applyFont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center" wrapText="1"/>
    </xf>
    <xf numFmtId="164" fontId="2" fillId="2" borderId="4" xfId="0" applyNumberFormat="1" applyFont="1" applyFill="1" applyBorder="1" applyAlignment="1">
      <alignment horizontal="justify" vertical="center" wrapText="1"/>
    </xf>
    <xf numFmtId="164" fontId="2" fillId="2" borderId="0" xfId="0" applyNumberFormat="1" applyFont="1" applyFill="1" applyAlignment="1">
      <alignment horizontal="justify" vertical="center" wrapText="1"/>
    </xf>
    <xf numFmtId="0" fontId="0" fillId="2" borderId="1" xfId="0" applyFill="1" applyBorder="1"/>
    <xf numFmtId="164" fontId="1" fillId="0" borderId="1" xfId="0" applyNumberFormat="1" applyFon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164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/>
    </xf>
    <xf numFmtId="164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164" fontId="1" fillId="0" borderId="1" xfId="0" applyNumberFormat="1" applyFont="1" applyBorder="1" applyAlignment="1">
      <alignment horizontal="center" vertical="top" wrapText="1"/>
    </xf>
    <xf numFmtId="164" fontId="1" fillId="0" borderId="0" xfId="0" applyNumberFormat="1" applyFont="1" applyAlignment="1">
      <alignment vertical="top" wrapText="1"/>
    </xf>
    <xf numFmtId="0" fontId="1" fillId="0" borderId="3" xfId="0" applyFont="1" applyBorder="1" applyAlignment="1">
      <alignment wrapText="1"/>
    </xf>
    <xf numFmtId="164" fontId="4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wrapText="1"/>
    </xf>
    <xf numFmtId="164" fontId="2" fillId="0" borderId="0" xfId="0" applyNumberFormat="1" applyFont="1" applyAlignment="1">
      <alignment horizontal="justify" vertical="center" wrapText="1"/>
    </xf>
    <xf numFmtId="0" fontId="1" fillId="0" borderId="0" xfId="0" applyFont="1"/>
    <xf numFmtId="164" fontId="1" fillId="0" borderId="0" xfId="0" applyNumberFormat="1" applyFont="1" applyAlignment="1">
      <alignment horizontal="center" vertical="top" wrapText="1"/>
    </xf>
    <xf numFmtId="164" fontId="0" fillId="0" borderId="7" xfId="0" applyNumberForma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0" fillId="7" borderId="7" xfId="0" applyNumberFormat="1" applyFill="1" applyBorder="1" applyAlignment="1">
      <alignment horizontal="center"/>
    </xf>
    <xf numFmtId="164" fontId="0" fillId="7" borderId="8" xfId="0" applyNumberFormat="1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164" fontId="1" fillId="2" borderId="7" xfId="0" applyNumberFormat="1" applyFon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164" fontId="0" fillId="5" borderId="7" xfId="0" applyNumberFormat="1" applyFill="1" applyBorder="1" applyAlignment="1">
      <alignment horizontal="center"/>
    </xf>
    <xf numFmtId="164" fontId="0" fillId="5" borderId="8" xfId="0" applyNumberFormat="1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164" fontId="1" fillId="0" borderId="7" xfId="0" applyNumberFormat="1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center" vertical="top" wrapText="1"/>
    </xf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53"/>
  <sheetViews>
    <sheetView zoomScale="130" zoomScaleNormal="130" workbookViewId="0">
      <selection activeCell="H4" sqref="H4"/>
    </sheetView>
  </sheetViews>
  <sheetFormatPr baseColWidth="10" defaultRowHeight="15" x14ac:dyDescent="0.25"/>
  <cols>
    <col min="2" max="2" width="7.7109375" customWidth="1"/>
    <col min="3" max="4" width="11.140625" style="1" customWidth="1"/>
    <col min="5" max="5" width="9.28515625" customWidth="1"/>
    <col min="6" max="6" width="19.140625" style="1" customWidth="1"/>
    <col min="7" max="7" width="18.5703125" style="1" customWidth="1"/>
  </cols>
  <sheetData>
    <row r="1" spans="3:7" ht="15.75" thickBot="1" x14ac:dyDescent="0.3"/>
    <row r="2" spans="3:7" ht="30" customHeight="1" thickBot="1" x14ac:dyDescent="0.3">
      <c r="C2" s="52" t="s">
        <v>25</v>
      </c>
      <c r="D2" s="53"/>
      <c r="E2" s="53"/>
      <c r="F2" s="53"/>
      <c r="G2" s="54"/>
    </row>
    <row r="3" spans="3:7" ht="15.75" thickBot="1" x14ac:dyDescent="0.3"/>
    <row r="4" spans="3:7" ht="26.25" thickBot="1" x14ac:dyDescent="0.3">
      <c r="F4" s="38" t="s">
        <v>43</v>
      </c>
      <c r="G4" s="39" t="s">
        <v>45</v>
      </c>
    </row>
    <row r="5" spans="3:7" ht="45.75" thickBot="1" x14ac:dyDescent="0.3">
      <c r="C5" s="36" t="s">
        <v>28</v>
      </c>
      <c r="D5" s="36" t="s">
        <v>6</v>
      </c>
      <c r="E5" s="11" t="s">
        <v>4</v>
      </c>
      <c r="F5" s="36" t="s">
        <v>5</v>
      </c>
      <c r="G5" s="36" t="s">
        <v>5</v>
      </c>
    </row>
    <row r="6" spans="3:7" ht="15.75" thickBot="1" x14ac:dyDescent="0.3">
      <c r="C6" s="13"/>
      <c r="D6" s="13"/>
      <c r="E6" s="32"/>
      <c r="F6" s="33" t="s">
        <v>31</v>
      </c>
      <c r="G6" s="33" t="s">
        <v>0</v>
      </c>
    </row>
    <row r="7" spans="3:7" ht="15.75" thickBot="1" x14ac:dyDescent="0.3">
      <c r="C7" s="12">
        <v>2.1753999999999998</v>
      </c>
      <c r="D7" s="12">
        <v>2.5</v>
      </c>
      <c r="E7" s="18" t="s">
        <v>1</v>
      </c>
      <c r="F7" s="2">
        <v>3573</v>
      </c>
      <c r="G7" s="2">
        <v>2688</v>
      </c>
    </row>
    <row r="8" spans="3:7" ht="15.75" thickBot="1" x14ac:dyDescent="0.3">
      <c r="C8" s="12"/>
      <c r="D8" s="12">
        <v>2.5</v>
      </c>
      <c r="E8" s="18" t="s">
        <v>2</v>
      </c>
      <c r="F8" s="2">
        <v>2719</v>
      </c>
      <c r="G8" s="2">
        <v>2046</v>
      </c>
    </row>
    <row r="9" spans="3:7" ht="15.75" thickBot="1" x14ac:dyDescent="0.3">
      <c r="C9" s="12"/>
      <c r="D9" s="12">
        <v>2.5</v>
      </c>
      <c r="E9" s="18" t="s">
        <v>3</v>
      </c>
      <c r="F9" s="2">
        <v>1261</v>
      </c>
      <c r="G9" s="2">
        <v>951</v>
      </c>
    </row>
    <row r="10" spans="3:7" ht="15.75" thickBot="1" x14ac:dyDescent="0.3">
      <c r="C10" s="13"/>
      <c r="D10" s="13"/>
      <c r="E10" s="32"/>
      <c r="F10" s="33" t="s">
        <v>32</v>
      </c>
      <c r="G10" s="33" t="s">
        <v>0</v>
      </c>
    </row>
    <row r="11" spans="3:7" ht="15.75" thickBot="1" x14ac:dyDescent="0.3">
      <c r="C11" s="12">
        <v>2.1753999999999998</v>
      </c>
      <c r="D11" s="12">
        <v>2</v>
      </c>
      <c r="E11" s="18" t="s">
        <v>1</v>
      </c>
      <c r="F11" s="2">
        <v>4095</v>
      </c>
      <c r="G11" s="2">
        <v>2688</v>
      </c>
    </row>
    <row r="12" spans="3:7" ht="15.75" thickBot="1" x14ac:dyDescent="0.3">
      <c r="C12" s="12"/>
      <c r="D12" s="12">
        <v>2</v>
      </c>
      <c r="E12" s="18" t="s">
        <v>2</v>
      </c>
      <c r="F12" s="2">
        <v>3429</v>
      </c>
      <c r="G12" s="2">
        <v>2046</v>
      </c>
    </row>
    <row r="13" spans="3:7" ht="15.75" thickBot="1" x14ac:dyDescent="0.3">
      <c r="C13" s="12"/>
      <c r="D13" s="12">
        <v>2</v>
      </c>
      <c r="E13" s="18" t="s">
        <v>3</v>
      </c>
      <c r="F13" s="2">
        <v>1588</v>
      </c>
      <c r="G13" s="2">
        <v>947</v>
      </c>
    </row>
    <row r="14" spans="3:7" ht="15.75" thickBot="1" x14ac:dyDescent="0.3">
      <c r="C14" s="13"/>
      <c r="D14" s="13"/>
      <c r="E14" s="32"/>
      <c r="F14" s="33" t="s">
        <v>33</v>
      </c>
      <c r="G14" s="33" t="s">
        <v>0</v>
      </c>
    </row>
    <row r="15" spans="3:7" ht="15.75" thickBot="1" x14ac:dyDescent="0.3">
      <c r="C15" s="12">
        <v>2.1753999999999998</v>
      </c>
      <c r="D15" s="12">
        <v>1.5</v>
      </c>
      <c r="E15" s="18" t="s">
        <v>1</v>
      </c>
      <c r="F15" s="2">
        <v>4095</v>
      </c>
      <c r="G15" s="2">
        <v>2688</v>
      </c>
    </row>
    <row r="16" spans="3:7" ht="15.75" thickBot="1" x14ac:dyDescent="0.3">
      <c r="C16" s="12"/>
      <c r="D16" s="12">
        <v>1.5</v>
      </c>
      <c r="E16" s="18" t="s">
        <v>2</v>
      </c>
      <c r="F16" s="2">
        <v>4095</v>
      </c>
      <c r="G16" s="2">
        <v>2044</v>
      </c>
    </row>
    <row r="17" spans="3:7" ht="15.75" thickBot="1" x14ac:dyDescent="0.3">
      <c r="C17" s="12"/>
      <c r="D17" s="12">
        <v>1.5</v>
      </c>
      <c r="E17" s="18" t="s">
        <v>3</v>
      </c>
      <c r="F17" s="2">
        <v>2112</v>
      </c>
      <c r="G17" s="2">
        <v>952</v>
      </c>
    </row>
    <row r="18" spans="3:7" ht="15.75" thickBot="1" x14ac:dyDescent="0.3">
      <c r="C18" s="15"/>
      <c r="D18" s="15"/>
      <c r="E18" s="5"/>
      <c r="F18" s="6" t="s">
        <v>31</v>
      </c>
      <c r="G18" s="6" t="s">
        <v>0</v>
      </c>
    </row>
    <row r="19" spans="3:7" ht="15.75" thickBot="1" x14ac:dyDescent="0.3">
      <c r="C19" s="12">
        <v>1.7094</v>
      </c>
      <c r="D19" s="12">
        <v>2.5</v>
      </c>
      <c r="E19" s="18" t="s">
        <v>1</v>
      </c>
      <c r="F19" s="2">
        <v>2806</v>
      </c>
      <c r="G19" s="2">
        <v>2107</v>
      </c>
    </row>
    <row r="20" spans="3:7" ht="15.75" thickBot="1" x14ac:dyDescent="0.3">
      <c r="C20" s="12"/>
      <c r="D20" s="12">
        <v>2.5</v>
      </c>
      <c r="E20" s="18" t="s">
        <v>2</v>
      </c>
      <c r="F20" s="2">
        <v>2719</v>
      </c>
      <c r="G20" s="2">
        <v>2045</v>
      </c>
    </row>
    <row r="21" spans="3:7" ht="15.75" thickBot="1" x14ac:dyDescent="0.3">
      <c r="C21" s="12"/>
      <c r="D21" s="12">
        <v>2.5</v>
      </c>
      <c r="E21" s="18" t="s">
        <v>3</v>
      </c>
      <c r="F21" s="2">
        <v>1261</v>
      </c>
      <c r="G21" s="2">
        <v>952</v>
      </c>
    </row>
    <row r="22" spans="3:7" ht="15.75" thickBot="1" x14ac:dyDescent="0.3">
      <c r="C22" s="15"/>
      <c r="D22" s="15"/>
      <c r="E22" s="5"/>
      <c r="F22" s="6" t="s">
        <v>32</v>
      </c>
      <c r="G22" s="6" t="s">
        <v>0</v>
      </c>
    </row>
    <row r="23" spans="3:7" ht="15.75" thickBot="1" x14ac:dyDescent="0.3">
      <c r="C23" s="12">
        <v>1.7094</v>
      </c>
      <c r="D23" s="12">
        <v>2</v>
      </c>
      <c r="E23" s="18" t="s">
        <v>1</v>
      </c>
      <c r="F23" s="2">
        <v>3544</v>
      </c>
      <c r="G23" s="2">
        <v>2113</v>
      </c>
    </row>
    <row r="24" spans="3:7" ht="15.75" thickBot="1" x14ac:dyDescent="0.3">
      <c r="C24" s="12"/>
      <c r="D24" s="12">
        <v>2</v>
      </c>
      <c r="E24" s="18" t="s">
        <v>2</v>
      </c>
      <c r="F24" s="2">
        <v>3428</v>
      </c>
      <c r="G24" s="2">
        <v>2044</v>
      </c>
    </row>
    <row r="25" spans="3:7" ht="15.75" thickBot="1" x14ac:dyDescent="0.3">
      <c r="C25" s="12"/>
      <c r="D25" s="12">
        <v>2</v>
      </c>
      <c r="E25" s="18" t="s">
        <v>3</v>
      </c>
      <c r="F25" s="2">
        <v>1597</v>
      </c>
      <c r="G25" s="2">
        <v>953</v>
      </c>
    </row>
    <row r="26" spans="3:7" ht="15.75" thickBot="1" x14ac:dyDescent="0.3">
      <c r="C26" s="15"/>
      <c r="D26" s="15"/>
      <c r="E26" s="5"/>
      <c r="F26" s="6" t="s">
        <v>33</v>
      </c>
      <c r="G26" s="6" t="s">
        <v>0</v>
      </c>
    </row>
    <row r="27" spans="3:7" ht="15.75" thickBot="1" x14ac:dyDescent="0.3">
      <c r="C27" s="12">
        <v>1.7094</v>
      </c>
      <c r="D27" s="12">
        <v>1.5</v>
      </c>
      <c r="E27" s="18" t="s">
        <v>1</v>
      </c>
      <c r="F27" s="2">
        <v>4095</v>
      </c>
      <c r="G27" s="2">
        <v>2121</v>
      </c>
    </row>
    <row r="28" spans="3:7" ht="15.75" thickBot="1" x14ac:dyDescent="0.3">
      <c r="C28" s="12"/>
      <c r="D28" s="12">
        <v>1.5</v>
      </c>
      <c r="E28" s="18" t="s">
        <v>2</v>
      </c>
      <c r="F28" s="2">
        <v>4095</v>
      </c>
      <c r="G28" s="2">
        <v>2044</v>
      </c>
    </row>
    <row r="29" spans="3:7" ht="15.75" thickBot="1" x14ac:dyDescent="0.3">
      <c r="C29" s="12"/>
      <c r="D29" s="12">
        <v>1.5</v>
      </c>
      <c r="E29" s="18" t="s">
        <v>3</v>
      </c>
      <c r="F29" s="2">
        <v>2103</v>
      </c>
      <c r="G29" s="2">
        <v>945</v>
      </c>
    </row>
    <row r="30" spans="3:7" ht="15.75" thickBot="1" x14ac:dyDescent="0.3">
      <c r="C30" s="16"/>
      <c r="D30" s="16"/>
      <c r="E30" s="7"/>
      <c r="F30" s="8" t="s">
        <v>31</v>
      </c>
      <c r="G30" s="8" t="s">
        <v>0</v>
      </c>
    </row>
    <row r="31" spans="3:7" ht="15.75" thickBot="1" x14ac:dyDescent="0.3">
      <c r="C31" s="12">
        <v>0.8649</v>
      </c>
      <c r="D31" s="12">
        <v>2.5</v>
      </c>
      <c r="E31" s="18" t="s">
        <v>1</v>
      </c>
      <c r="F31" s="2">
        <v>1422</v>
      </c>
      <c r="G31" s="2">
        <v>1067</v>
      </c>
    </row>
    <row r="32" spans="3:7" ht="15.75" thickBot="1" x14ac:dyDescent="0.3">
      <c r="C32" s="12"/>
      <c r="D32" s="12">
        <v>2.5</v>
      </c>
      <c r="E32" s="18" t="s">
        <v>2</v>
      </c>
      <c r="F32" s="2">
        <v>2721</v>
      </c>
      <c r="G32" s="2">
        <v>2049</v>
      </c>
    </row>
    <row r="33" spans="3:7" ht="15.75" thickBot="1" x14ac:dyDescent="0.3">
      <c r="C33" s="12"/>
      <c r="D33" s="12">
        <v>2.5</v>
      </c>
      <c r="E33" s="18" t="s">
        <v>3</v>
      </c>
      <c r="F33" s="2">
        <v>1265</v>
      </c>
      <c r="G33" s="2">
        <v>949</v>
      </c>
    </row>
    <row r="34" spans="3:7" ht="15.75" thickBot="1" x14ac:dyDescent="0.3">
      <c r="C34" s="16"/>
      <c r="D34" s="16"/>
      <c r="E34" s="7"/>
      <c r="F34" s="8" t="s">
        <v>32</v>
      </c>
      <c r="G34" s="8" t="s">
        <v>0</v>
      </c>
    </row>
    <row r="35" spans="3:7" ht="15.75" thickBot="1" x14ac:dyDescent="0.3">
      <c r="C35" s="12">
        <v>0.8649</v>
      </c>
      <c r="D35" s="12">
        <v>2</v>
      </c>
      <c r="E35" s="18" t="s">
        <v>1</v>
      </c>
      <c r="F35" s="2">
        <v>1799</v>
      </c>
      <c r="G35" s="2">
        <v>1073</v>
      </c>
    </row>
    <row r="36" spans="3:7" ht="15.75" thickBot="1" x14ac:dyDescent="0.3">
      <c r="C36" s="12"/>
      <c r="D36" s="12">
        <v>2</v>
      </c>
      <c r="E36" s="18" t="s">
        <v>2</v>
      </c>
      <c r="F36" s="2">
        <v>3435</v>
      </c>
      <c r="G36" s="2">
        <v>2043</v>
      </c>
    </row>
    <row r="37" spans="3:7" ht="15.75" thickBot="1" x14ac:dyDescent="0.3">
      <c r="C37" s="12"/>
      <c r="D37" s="12">
        <v>2</v>
      </c>
      <c r="E37" s="18" t="s">
        <v>3</v>
      </c>
      <c r="F37" s="2">
        <v>1593</v>
      </c>
      <c r="G37" s="2">
        <v>952</v>
      </c>
    </row>
    <row r="38" spans="3:7" ht="15.75" thickBot="1" x14ac:dyDescent="0.3">
      <c r="C38" s="16"/>
      <c r="D38" s="16"/>
      <c r="E38" s="7"/>
      <c r="F38" s="8" t="s">
        <v>33</v>
      </c>
      <c r="G38" s="8" t="s">
        <v>0</v>
      </c>
    </row>
    <row r="39" spans="3:7" ht="15.75" thickBot="1" x14ac:dyDescent="0.3">
      <c r="C39" s="12">
        <v>0.8649</v>
      </c>
      <c r="D39" s="12">
        <v>1.5</v>
      </c>
      <c r="E39" s="18" t="s">
        <v>1</v>
      </c>
      <c r="F39" s="2">
        <v>2377</v>
      </c>
      <c r="G39" s="2">
        <v>1076</v>
      </c>
    </row>
    <row r="40" spans="3:7" ht="15.75" thickBot="1" x14ac:dyDescent="0.3">
      <c r="C40" s="12"/>
      <c r="D40" s="12">
        <v>1.5</v>
      </c>
      <c r="E40" s="18" t="s">
        <v>2</v>
      </c>
      <c r="F40" s="2">
        <v>4095</v>
      </c>
      <c r="G40" s="2">
        <v>2046</v>
      </c>
    </row>
    <row r="41" spans="3:7" ht="15.75" thickBot="1" x14ac:dyDescent="0.3">
      <c r="C41" s="12"/>
      <c r="D41" s="12">
        <v>1.5</v>
      </c>
      <c r="E41" s="18" t="s">
        <v>3</v>
      </c>
      <c r="F41" s="2">
        <v>2108</v>
      </c>
      <c r="G41" s="2">
        <v>947</v>
      </c>
    </row>
    <row r="42" spans="3:7" ht="15.75" thickBot="1" x14ac:dyDescent="0.3">
      <c r="C42" s="17"/>
      <c r="D42" s="17"/>
      <c r="E42" s="9"/>
      <c r="F42" s="10" t="s">
        <v>31</v>
      </c>
      <c r="G42" s="10" t="s">
        <v>0</v>
      </c>
    </row>
    <row r="43" spans="3:7" ht="15.75" thickBot="1" x14ac:dyDescent="0.3">
      <c r="C43" s="12">
        <v>0.28739999999999999</v>
      </c>
      <c r="D43" s="12">
        <v>2.5</v>
      </c>
      <c r="E43" s="18" t="s">
        <v>1</v>
      </c>
      <c r="F43" s="2">
        <v>475</v>
      </c>
      <c r="G43" s="2">
        <v>355</v>
      </c>
    </row>
    <row r="44" spans="3:7" ht="15.75" thickBot="1" x14ac:dyDescent="0.3">
      <c r="C44" s="12"/>
      <c r="D44" s="12">
        <v>2.5</v>
      </c>
      <c r="E44" s="18" t="s">
        <v>2</v>
      </c>
      <c r="F44" s="2">
        <v>2718</v>
      </c>
      <c r="G44" s="2">
        <v>2043</v>
      </c>
    </row>
    <row r="45" spans="3:7" ht="15.75" thickBot="1" x14ac:dyDescent="0.3">
      <c r="C45" s="12"/>
      <c r="D45" s="12">
        <v>2.5</v>
      </c>
      <c r="E45" s="18" t="s">
        <v>3</v>
      </c>
      <c r="F45" s="2">
        <v>1260</v>
      </c>
      <c r="G45" s="2">
        <v>947</v>
      </c>
    </row>
    <row r="46" spans="3:7" ht="15.75" thickBot="1" x14ac:dyDescent="0.3">
      <c r="C46" s="17"/>
      <c r="D46" s="17"/>
      <c r="E46" s="9"/>
      <c r="F46" s="10" t="s">
        <v>32</v>
      </c>
      <c r="G46" s="10" t="s">
        <v>0</v>
      </c>
    </row>
    <row r="47" spans="3:7" ht="15.75" thickBot="1" x14ac:dyDescent="0.3">
      <c r="C47" s="12">
        <v>0.28739999999999999</v>
      </c>
      <c r="D47" s="12">
        <v>2</v>
      </c>
      <c r="E47" s="18" t="s">
        <v>1</v>
      </c>
      <c r="F47" s="2">
        <v>595</v>
      </c>
      <c r="G47" s="2">
        <v>357</v>
      </c>
    </row>
    <row r="48" spans="3:7" ht="15.75" thickBot="1" x14ac:dyDescent="0.3">
      <c r="C48" s="12"/>
      <c r="D48" s="12">
        <v>2</v>
      </c>
      <c r="E48" s="18" t="s">
        <v>2</v>
      </c>
      <c r="F48" s="2">
        <v>3433</v>
      </c>
      <c r="G48" s="2">
        <v>2044</v>
      </c>
    </row>
    <row r="49" spans="3:7" ht="15.75" thickBot="1" x14ac:dyDescent="0.3">
      <c r="C49" s="12"/>
      <c r="D49" s="12">
        <v>2</v>
      </c>
      <c r="E49" s="18" t="s">
        <v>3</v>
      </c>
      <c r="F49" s="2">
        <v>1586</v>
      </c>
      <c r="G49" s="2">
        <v>946</v>
      </c>
    </row>
    <row r="50" spans="3:7" ht="15.75" thickBot="1" x14ac:dyDescent="0.3">
      <c r="C50" s="17"/>
      <c r="D50" s="17"/>
      <c r="E50" s="9"/>
      <c r="F50" s="10" t="s">
        <v>33</v>
      </c>
      <c r="G50" s="10" t="s">
        <v>0</v>
      </c>
    </row>
    <row r="51" spans="3:7" ht="15.75" thickBot="1" x14ac:dyDescent="0.3">
      <c r="C51" s="12">
        <v>0.28739999999999999</v>
      </c>
      <c r="D51" s="12">
        <v>1.5</v>
      </c>
      <c r="E51" s="18" t="s">
        <v>1</v>
      </c>
      <c r="F51" s="2">
        <v>792</v>
      </c>
      <c r="G51" s="2">
        <v>356</v>
      </c>
    </row>
    <row r="52" spans="3:7" ht="15.75" thickBot="1" x14ac:dyDescent="0.3">
      <c r="C52" s="12"/>
      <c r="D52" s="12">
        <v>1.5</v>
      </c>
      <c r="E52" s="18" t="s">
        <v>2</v>
      </c>
      <c r="F52" s="2">
        <v>4095</v>
      </c>
      <c r="G52" s="2">
        <v>2046</v>
      </c>
    </row>
    <row r="53" spans="3:7" ht="15.75" thickBot="1" x14ac:dyDescent="0.3">
      <c r="C53" s="12"/>
      <c r="D53" s="12">
        <v>1.5</v>
      </c>
      <c r="E53" s="18" t="s">
        <v>3</v>
      </c>
      <c r="F53" s="2">
        <v>2107</v>
      </c>
      <c r="G53" s="2">
        <v>949</v>
      </c>
    </row>
  </sheetData>
  <mergeCells count="1">
    <mergeCell ref="C2:G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P37"/>
  <sheetViews>
    <sheetView zoomScaleNormal="100" workbookViewId="0">
      <selection activeCell="I5" sqref="I5"/>
    </sheetView>
  </sheetViews>
  <sheetFormatPr baseColWidth="10" defaultRowHeight="15" x14ac:dyDescent="0.25"/>
  <cols>
    <col min="2" max="2" width="11.5703125" customWidth="1"/>
    <col min="3" max="3" width="14.5703125" style="1" customWidth="1"/>
    <col min="4" max="4" width="11.28515625" style="1" customWidth="1"/>
    <col min="5" max="5" width="6.5703125" customWidth="1"/>
    <col min="6" max="6" width="12.140625" style="1" customWidth="1"/>
    <col min="7" max="10" width="13" style="1" customWidth="1"/>
    <col min="12" max="12" width="11.7109375" customWidth="1"/>
    <col min="13" max="13" width="11.28515625" customWidth="1"/>
    <col min="14" max="14" width="11.7109375" customWidth="1"/>
    <col min="15" max="15" width="11.42578125" customWidth="1"/>
    <col min="16" max="16" width="10" customWidth="1"/>
  </cols>
  <sheetData>
    <row r="1" spans="3:16" ht="15.75" thickBot="1" x14ac:dyDescent="0.3"/>
    <row r="2" spans="3:16" ht="15.75" thickBot="1" x14ac:dyDescent="0.3">
      <c r="C2" s="58" t="s">
        <v>46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60"/>
    </row>
    <row r="4" spans="3:16" ht="15.75" thickBot="1" x14ac:dyDescent="0.3">
      <c r="J4" s="1" t="s">
        <v>57</v>
      </c>
    </row>
    <row r="5" spans="3:16" ht="39.75" thickBot="1" x14ac:dyDescent="0.3">
      <c r="F5" s="37" t="s">
        <v>34</v>
      </c>
      <c r="G5" s="38" t="s">
        <v>45</v>
      </c>
      <c r="H5" s="47"/>
      <c r="I5" s="47">
        <f>(2^12)-1</f>
        <v>4095</v>
      </c>
      <c r="J5" s="47">
        <v>3.3</v>
      </c>
    </row>
    <row r="6" spans="3:16" ht="45.75" thickBot="1" x14ac:dyDescent="0.3">
      <c r="C6" s="36" t="s">
        <v>29</v>
      </c>
      <c r="D6" s="40" t="s">
        <v>6</v>
      </c>
      <c r="E6" s="41" t="s">
        <v>4</v>
      </c>
      <c r="F6" s="36" t="s">
        <v>5</v>
      </c>
      <c r="G6" s="36" t="s">
        <v>5</v>
      </c>
      <c r="H6" s="48"/>
      <c r="I6" s="48" t="s">
        <v>47</v>
      </c>
      <c r="J6" s="48" t="s">
        <v>48</v>
      </c>
      <c r="L6" s="42" t="s">
        <v>39</v>
      </c>
      <c r="M6" s="42" t="s">
        <v>41</v>
      </c>
      <c r="O6" s="43" t="s">
        <v>40</v>
      </c>
      <c r="P6" s="43" t="s">
        <v>42</v>
      </c>
    </row>
    <row r="7" spans="3:16" ht="15.75" thickBot="1" x14ac:dyDescent="0.3">
      <c r="C7" s="13"/>
      <c r="D7" s="13"/>
      <c r="E7" s="32"/>
      <c r="F7" s="33" t="s">
        <v>31</v>
      </c>
      <c r="G7" s="33" t="s">
        <v>0</v>
      </c>
      <c r="H7" s="49"/>
      <c r="I7" s="49"/>
      <c r="J7" s="49"/>
      <c r="L7" s="35"/>
      <c r="M7" s="35"/>
      <c r="O7" s="35"/>
      <c r="P7" s="35"/>
    </row>
    <row r="8" spans="3:16" ht="15.75" thickBot="1" x14ac:dyDescent="0.3">
      <c r="C8" s="12">
        <v>2.1753999999999998</v>
      </c>
      <c r="D8" s="12">
        <v>2.5</v>
      </c>
      <c r="E8" s="18" t="s">
        <v>1</v>
      </c>
      <c r="F8" s="2">
        <v>3573</v>
      </c>
      <c r="G8" s="2">
        <v>2688</v>
      </c>
      <c r="H8" s="25"/>
      <c r="I8" s="25">
        <f>$I$5*((C8)/D8)</f>
        <v>3563.3051999999998</v>
      </c>
      <c r="J8" s="25">
        <f>$I$5*((C8)/$J$5)</f>
        <v>2699.4736363636362</v>
      </c>
      <c r="L8" s="12">
        <f>ABS(F8-I8)</f>
        <v>9.6948000000002139</v>
      </c>
      <c r="M8" s="12">
        <f>1000*(L8*D8)/($I$5)</f>
        <v>5.9186813186814495</v>
      </c>
      <c r="O8" s="12">
        <f>ABS(G8-J8)</f>
        <v>11.47363636363616</v>
      </c>
      <c r="P8" s="12">
        <f>1000*(O8*$J$5)/($I$5)</f>
        <v>9.2461538461536801</v>
      </c>
    </row>
    <row r="9" spans="3:16" ht="15.75" thickBot="1" x14ac:dyDescent="0.3">
      <c r="C9" s="61"/>
      <c r="D9" s="62"/>
      <c r="E9" s="63"/>
      <c r="F9" s="33" t="s">
        <v>32</v>
      </c>
      <c r="G9" s="33" t="s">
        <v>0</v>
      </c>
      <c r="H9" s="49"/>
      <c r="I9" s="49"/>
      <c r="J9" s="49"/>
      <c r="L9" s="35"/>
      <c r="M9" s="35"/>
      <c r="O9" s="35"/>
      <c r="P9" s="35"/>
    </row>
    <row r="10" spans="3:16" ht="15.75" thickBot="1" x14ac:dyDescent="0.3">
      <c r="C10" s="12">
        <v>2.1753999999999998</v>
      </c>
      <c r="D10" s="12">
        <v>2</v>
      </c>
      <c r="E10" s="18" t="s">
        <v>1</v>
      </c>
      <c r="F10" s="2">
        <v>4095</v>
      </c>
      <c r="G10" s="2">
        <v>2688</v>
      </c>
      <c r="H10" s="25"/>
      <c r="I10" s="25">
        <f t="shared" ref="I10" si="0">$I$5*((C10)/D10)</f>
        <v>4454.1314999999995</v>
      </c>
      <c r="J10" s="25">
        <f t="shared" ref="J10" si="1">$I$5*((C10)/$J$5)</f>
        <v>2699.4736363636362</v>
      </c>
      <c r="L10" s="12">
        <f t="shared" ref="L10" si="2">ABS(F10-I10)</f>
        <v>359.13149999999951</v>
      </c>
      <c r="M10" s="12">
        <f t="shared" ref="M10" si="3">1000*(L10*D10)/($I$5)</f>
        <v>175.39999999999978</v>
      </c>
      <c r="O10" s="12">
        <f t="shared" ref="O10" si="4">ABS(G10-J10)</f>
        <v>11.47363636363616</v>
      </c>
      <c r="P10" s="12">
        <f t="shared" ref="P10" si="5">1000*(O10*$J$5)/($I$5)</f>
        <v>9.2461538461536801</v>
      </c>
    </row>
    <row r="11" spans="3:16" ht="15.75" thickBot="1" x14ac:dyDescent="0.3">
      <c r="C11" s="13"/>
      <c r="D11" s="13"/>
      <c r="E11" s="32"/>
      <c r="F11" s="33" t="s">
        <v>33</v>
      </c>
      <c r="G11" s="33" t="s">
        <v>0</v>
      </c>
      <c r="H11" s="49"/>
      <c r="I11" s="49"/>
      <c r="J11" s="49"/>
      <c r="L11" s="35"/>
      <c r="M11" s="35"/>
      <c r="O11" s="35"/>
      <c r="P11" s="35"/>
    </row>
    <row r="12" spans="3:16" ht="15.75" thickBot="1" x14ac:dyDescent="0.3">
      <c r="C12" s="12">
        <v>2.1753999999999998</v>
      </c>
      <c r="D12" s="12">
        <v>1.5</v>
      </c>
      <c r="E12" s="18" t="s">
        <v>1</v>
      </c>
      <c r="F12" s="2">
        <v>4095</v>
      </c>
      <c r="G12" s="2">
        <v>2688</v>
      </c>
      <c r="H12" s="25"/>
      <c r="I12" s="25">
        <f t="shared" ref="I12:I30" si="6">$I$5*((C12)/D12)</f>
        <v>5938.8419999999996</v>
      </c>
      <c r="J12" s="25">
        <f t="shared" ref="J12" si="7">$I$5*((C12)/$J$5)</f>
        <v>2699.4736363636362</v>
      </c>
      <c r="L12" s="12">
        <f t="shared" ref="L12" si="8">ABS(F12-I12)</f>
        <v>1843.8419999999996</v>
      </c>
      <c r="M12" s="12">
        <f t="shared" ref="M12" si="9">1000*(L12*D12)/($I$5)</f>
        <v>675.39999999999986</v>
      </c>
      <c r="O12" s="12">
        <f t="shared" ref="O12" si="10">ABS(G12-J12)</f>
        <v>11.47363636363616</v>
      </c>
      <c r="P12" s="12">
        <f t="shared" ref="P12" si="11">1000*(O12*$J$5)/($I$5)</f>
        <v>9.2461538461536801</v>
      </c>
    </row>
    <row r="13" spans="3:16" ht="15.75" thickBot="1" x14ac:dyDescent="0.3">
      <c r="C13" s="64"/>
      <c r="D13" s="65"/>
      <c r="E13" s="66"/>
      <c r="F13" s="6" t="s">
        <v>31</v>
      </c>
      <c r="G13" s="6" t="s">
        <v>0</v>
      </c>
      <c r="H13" s="49"/>
      <c r="I13" s="49"/>
      <c r="J13" s="49"/>
      <c r="L13" s="35"/>
      <c r="M13" s="35"/>
      <c r="O13" s="35"/>
      <c r="P13" s="35"/>
    </row>
    <row r="14" spans="3:16" ht="15.75" thickBot="1" x14ac:dyDescent="0.3">
      <c r="C14" s="12">
        <v>1.7094</v>
      </c>
      <c r="D14" s="12">
        <v>2.5</v>
      </c>
      <c r="E14" s="18" t="s">
        <v>1</v>
      </c>
      <c r="F14" s="2">
        <v>2806</v>
      </c>
      <c r="G14" s="2">
        <v>2107</v>
      </c>
      <c r="H14" s="25"/>
      <c r="I14" s="25">
        <f t="shared" si="6"/>
        <v>2799.9972000000002</v>
      </c>
      <c r="J14" s="25">
        <f t="shared" ref="J14" si="12">$I$5*((C14)/$J$5)</f>
        <v>2121.21</v>
      </c>
      <c r="L14" s="12">
        <f t="shared" ref="L14" si="13">ABS(F14-I14)</f>
        <v>6.0027999999997519</v>
      </c>
      <c r="M14" s="12">
        <f t="shared" ref="M14" si="14">1000*(L14*D14)/($I$5)</f>
        <v>3.6647130647129131</v>
      </c>
      <c r="O14" s="12">
        <f t="shared" ref="O14" si="15">ABS(G14-J14)</f>
        <v>14.210000000000036</v>
      </c>
      <c r="P14" s="12">
        <f t="shared" ref="P14" si="16">1000*(O14*$J$5)/($I$5)</f>
        <v>11.45128205128208</v>
      </c>
    </row>
    <row r="15" spans="3:16" ht="15.75" thickBot="1" x14ac:dyDescent="0.3">
      <c r="C15" s="15"/>
      <c r="D15" s="15"/>
      <c r="E15" s="5"/>
      <c r="F15" s="6" t="s">
        <v>32</v>
      </c>
      <c r="G15" s="6" t="s">
        <v>0</v>
      </c>
      <c r="H15" s="49"/>
      <c r="I15" s="49"/>
      <c r="J15" s="49"/>
      <c r="L15" s="35"/>
      <c r="M15" s="35"/>
      <c r="O15" s="35"/>
      <c r="P15" s="35"/>
    </row>
    <row r="16" spans="3:16" ht="15.75" thickBot="1" x14ac:dyDescent="0.3">
      <c r="C16" s="12">
        <v>1.7094</v>
      </c>
      <c r="D16" s="12">
        <v>2</v>
      </c>
      <c r="E16" s="18" t="s">
        <v>1</v>
      </c>
      <c r="F16" s="2">
        <v>3544</v>
      </c>
      <c r="G16" s="2">
        <v>2113</v>
      </c>
      <c r="H16" s="25"/>
      <c r="I16" s="25">
        <f t="shared" si="6"/>
        <v>3499.9965000000002</v>
      </c>
      <c r="J16" s="25">
        <f t="shared" ref="J16" si="17">$I$5*((C16)/$J$5)</f>
        <v>2121.21</v>
      </c>
      <c r="L16" s="12">
        <f t="shared" ref="L16" si="18">ABS(F16-I16)</f>
        <v>44.003499999999804</v>
      </c>
      <c r="M16" s="12">
        <f t="shared" ref="M16" si="19">1000*(L16*D16)/($I$5)</f>
        <v>21.491330891330794</v>
      </c>
      <c r="O16" s="12">
        <f t="shared" ref="O16" si="20">ABS(G16-J16)</f>
        <v>8.2100000000000364</v>
      </c>
      <c r="P16" s="12">
        <f t="shared" ref="P16" si="21">1000*(O16*$J$5)/($I$5)</f>
        <v>6.6161172161172441</v>
      </c>
    </row>
    <row r="17" spans="3:16" ht="15.75" thickBot="1" x14ac:dyDescent="0.3">
      <c r="C17" s="15"/>
      <c r="D17" s="15"/>
      <c r="E17" s="5"/>
      <c r="F17" s="6" t="s">
        <v>33</v>
      </c>
      <c r="G17" s="6" t="s">
        <v>0</v>
      </c>
      <c r="H17" s="49"/>
      <c r="I17" s="49"/>
      <c r="J17" s="49"/>
      <c r="L17" s="35"/>
      <c r="M17" s="35"/>
      <c r="O17" s="35"/>
      <c r="P17" s="35"/>
    </row>
    <row r="18" spans="3:16" ht="15.75" thickBot="1" x14ac:dyDescent="0.3">
      <c r="C18" s="12">
        <v>1.7094</v>
      </c>
      <c r="D18" s="12">
        <v>1.5</v>
      </c>
      <c r="E18" s="18" t="s">
        <v>1</v>
      </c>
      <c r="F18" s="2">
        <v>4095</v>
      </c>
      <c r="G18" s="2">
        <v>2121</v>
      </c>
      <c r="H18" s="25"/>
      <c r="I18" s="25">
        <f t="shared" si="6"/>
        <v>4666.6619999999994</v>
      </c>
      <c r="J18" s="25">
        <f t="shared" ref="J18" si="22">$I$5*((C18)/$J$5)</f>
        <v>2121.21</v>
      </c>
      <c r="L18" s="12">
        <f t="shared" ref="L18" si="23">ABS(F18-I18)</f>
        <v>571.66199999999935</v>
      </c>
      <c r="M18" s="12">
        <f t="shared" ref="M18" si="24">1000*(L18*D18)/($I$5)</f>
        <v>209.39999999999978</v>
      </c>
      <c r="O18" s="12">
        <f t="shared" ref="O18" si="25">ABS(G18-J18)</f>
        <v>0.21000000000003638</v>
      </c>
      <c r="P18" s="12">
        <f t="shared" ref="P18" si="26">1000*(O18*$J$5)/($I$5)</f>
        <v>0.16923076923079852</v>
      </c>
    </row>
    <row r="19" spans="3:16" ht="15.75" thickBot="1" x14ac:dyDescent="0.3">
      <c r="C19" s="67"/>
      <c r="D19" s="68"/>
      <c r="E19" s="69"/>
      <c r="F19" s="8" t="s">
        <v>31</v>
      </c>
      <c r="G19" s="8" t="s">
        <v>0</v>
      </c>
      <c r="H19" s="49"/>
      <c r="I19" s="49"/>
      <c r="J19" s="49"/>
      <c r="L19" s="35"/>
      <c r="M19" s="35"/>
      <c r="O19" s="35"/>
      <c r="P19" s="35"/>
    </row>
    <row r="20" spans="3:16" ht="15.75" thickBot="1" x14ac:dyDescent="0.3">
      <c r="C20" s="12">
        <v>0.8649</v>
      </c>
      <c r="D20" s="12">
        <v>2.5</v>
      </c>
      <c r="E20" s="18" t="s">
        <v>1</v>
      </c>
      <c r="F20" s="2">
        <v>1422</v>
      </c>
      <c r="G20" s="2">
        <v>1067</v>
      </c>
      <c r="H20" s="25"/>
      <c r="I20" s="25">
        <f t="shared" si="6"/>
        <v>1416.7061999999999</v>
      </c>
      <c r="J20" s="25">
        <f t="shared" ref="J20" si="27">$I$5*((C20)/$J$5)</f>
        <v>1073.2622727272728</v>
      </c>
      <c r="L20" s="12">
        <f t="shared" ref="L20" si="28">ABS(F20-I20)</f>
        <v>5.2938000000001466</v>
      </c>
      <c r="M20" s="12">
        <f t="shared" ref="M20" si="29">1000*(L20*D20)/($I$5)</f>
        <v>3.2318681318682216</v>
      </c>
      <c r="O20" s="12">
        <f t="shared" ref="O20" si="30">ABS(G20-J20)</f>
        <v>6.2622727272728298</v>
      </c>
      <c r="P20" s="12">
        <f t="shared" ref="P20" si="31">1000*(O20*$J$5)/($I$5)</f>
        <v>5.0465201465202281</v>
      </c>
    </row>
    <row r="21" spans="3:16" ht="15.75" thickBot="1" x14ac:dyDescent="0.3">
      <c r="C21" s="16"/>
      <c r="D21" s="16"/>
      <c r="E21" s="7"/>
      <c r="F21" s="8" t="s">
        <v>32</v>
      </c>
      <c r="G21" s="8" t="s">
        <v>0</v>
      </c>
      <c r="H21" s="49"/>
      <c r="I21" s="49"/>
      <c r="J21" s="49"/>
      <c r="L21" s="35"/>
      <c r="M21" s="35"/>
      <c r="O21" s="35"/>
      <c r="P21" s="35"/>
    </row>
    <row r="22" spans="3:16" ht="15.75" thickBot="1" x14ac:dyDescent="0.3">
      <c r="C22" s="12">
        <v>0.8649</v>
      </c>
      <c r="D22" s="12">
        <v>2</v>
      </c>
      <c r="E22" s="18" t="s">
        <v>1</v>
      </c>
      <c r="F22" s="2">
        <v>1799</v>
      </c>
      <c r="G22" s="2">
        <v>1073</v>
      </c>
      <c r="H22" s="25"/>
      <c r="I22" s="25">
        <f t="shared" si="6"/>
        <v>1770.88275</v>
      </c>
      <c r="J22" s="25">
        <f t="shared" ref="J22" si="32">$I$5*((C22)/$J$5)</f>
        <v>1073.2622727272728</v>
      </c>
      <c r="L22" s="12">
        <f t="shared" ref="L22" si="33">ABS(F22-I22)</f>
        <v>28.117250000000013</v>
      </c>
      <c r="M22" s="12">
        <f t="shared" ref="M22" si="34">1000*(L22*D22)/($I$5)</f>
        <v>13.732478632478639</v>
      </c>
      <c r="O22" s="12">
        <f t="shared" ref="O22" si="35">ABS(G22-J22)</f>
        <v>0.2622727272728298</v>
      </c>
      <c r="P22" s="12">
        <f t="shared" ref="P22" si="36">1000*(O22*$J$5)/($I$5)</f>
        <v>0.21135531135539398</v>
      </c>
    </row>
    <row r="23" spans="3:16" ht="15.75" thickBot="1" x14ac:dyDescent="0.3">
      <c r="C23" s="16"/>
      <c r="D23" s="16"/>
      <c r="E23" s="7"/>
      <c r="F23" s="8" t="s">
        <v>33</v>
      </c>
      <c r="G23" s="8" t="s">
        <v>0</v>
      </c>
      <c r="H23" s="49"/>
      <c r="I23" s="49"/>
      <c r="J23" s="49"/>
      <c r="L23" s="35"/>
      <c r="M23" s="35"/>
      <c r="O23" s="35"/>
      <c r="P23" s="35"/>
    </row>
    <row r="24" spans="3:16" ht="15.75" thickBot="1" x14ac:dyDescent="0.3">
      <c r="C24" s="12">
        <v>0.8649</v>
      </c>
      <c r="D24" s="12">
        <v>1.5</v>
      </c>
      <c r="E24" s="18" t="s">
        <v>1</v>
      </c>
      <c r="F24" s="2">
        <v>2377</v>
      </c>
      <c r="G24" s="2">
        <v>1076</v>
      </c>
      <c r="H24" s="25"/>
      <c r="I24" s="25">
        <f t="shared" si="6"/>
        <v>2361.1770000000001</v>
      </c>
      <c r="J24" s="25">
        <f t="shared" ref="J24" si="37">$I$5*((C24)/$J$5)</f>
        <v>1073.2622727272728</v>
      </c>
      <c r="L24" s="12">
        <f t="shared" ref="L24" si="38">ABS(F24-I24)</f>
        <v>15.822999999999865</v>
      </c>
      <c r="M24" s="12">
        <f t="shared" ref="M24" si="39">1000*(L24*D24)/($I$5)</f>
        <v>5.7959706959706461</v>
      </c>
      <c r="O24" s="12">
        <f t="shared" ref="O24" si="40">ABS(G24-J24)</f>
        <v>2.7377272727271702</v>
      </c>
      <c r="P24" s="12">
        <f t="shared" ref="P24" si="41">1000*(O24*$J$5)/($I$5)</f>
        <v>2.2062271062270238</v>
      </c>
    </row>
    <row r="25" spans="3:16" ht="15.75" thickBot="1" x14ac:dyDescent="0.3">
      <c r="C25" s="55"/>
      <c r="D25" s="56"/>
      <c r="E25" s="57"/>
      <c r="F25" s="10" t="s">
        <v>31</v>
      </c>
      <c r="G25" s="10" t="s">
        <v>0</v>
      </c>
      <c r="H25" s="49"/>
      <c r="I25" s="49"/>
      <c r="J25" s="49"/>
      <c r="L25" s="35"/>
      <c r="M25" s="35"/>
      <c r="O25" s="35"/>
      <c r="P25" s="35"/>
    </row>
    <row r="26" spans="3:16" ht="15.75" thickBot="1" x14ac:dyDescent="0.3">
      <c r="C26" s="12">
        <v>0.28739999999999999</v>
      </c>
      <c r="D26" s="12">
        <v>2.5</v>
      </c>
      <c r="E26" s="18" t="s">
        <v>1</v>
      </c>
      <c r="F26" s="2">
        <v>475</v>
      </c>
      <c r="G26" s="2">
        <v>355</v>
      </c>
      <c r="H26" s="25"/>
      <c r="I26" s="25">
        <f t="shared" si="6"/>
        <v>470.76119999999997</v>
      </c>
      <c r="J26" s="25">
        <f t="shared" ref="J26" si="42">$I$5*((C26)/$J$5)</f>
        <v>356.63727272727272</v>
      </c>
      <c r="L26" s="12">
        <f t="shared" ref="L26" si="43">ABS(F26-I26)</f>
        <v>4.2388000000000261</v>
      </c>
      <c r="M26" s="12">
        <f t="shared" ref="M26" si="44">1000*(L26*D26)/($I$5)</f>
        <v>2.5877899877900039</v>
      </c>
      <c r="O26" s="12">
        <f t="shared" ref="O26" si="45">ABS(G26-J26)</f>
        <v>1.6372727272727161</v>
      </c>
      <c r="P26" s="12">
        <f t="shared" ref="P26" si="46">1000*(O26*$J$5)/($I$5)</f>
        <v>1.3194139194139105</v>
      </c>
    </row>
    <row r="27" spans="3:16" ht="15.75" thickBot="1" x14ac:dyDescent="0.3">
      <c r="C27" s="17"/>
      <c r="D27" s="17"/>
      <c r="E27" s="9"/>
      <c r="F27" s="10" t="s">
        <v>32</v>
      </c>
      <c r="G27" s="10" t="s">
        <v>0</v>
      </c>
      <c r="H27" s="49"/>
      <c r="I27" s="49"/>
      <c r="J27" s="49"/>
      <c r="L27" s="35"/>
      <c r="M27" s="35"/>
      <c r="O27" s="35"/>
      <c r="P27" s="35"/>
    </row>
    <row r="28" spans="3:16" ht="15.75" thickBot="1" x14ac:dyDescent="0.3">
      <c r="C28" s="12">
        <v>0.28739999999999999</v>
      </c>
      <c r="D28" s="12">
        <v>2</v>
      </c>
      <c r="E28" s="18" t="s">
        <v>1</v>
      </c>
      <c r="F28" s="2">
        <v>595</v>
      </c>
      <c r="G28" s="2">
        <v>357</v>
      </c>
      <c r="H28" s="25"/>
      <c r="I28" s="25">
        <f t="shared" si="6"/>
        <v>588.45150000000001</v>
      </c>
      <c r="J28" s="25">
        <f t="shared" ref="J28" si="47">$I$5*((C28)/$J$5)</f>
        <v>356.63727272727272</v>
      </c>
      <c r="L28" s="12">
        <f t="shared" ref="L28" si="48">ABS(F28-I28)</f>
        <v>6.54849999999999</v>
      </c>
      <c r="M28" s="12">
        <f t="shared" ref="M28" si="49">1000*(L28*D28)/($I$5)</f>
        <v>3.1982905982905936</v>
      </c>
      <c r="O28" s="12">
        <f t="shared" ref="O28" si="50">ABS(G28-J28)</f>
        <v>0.36272727272728389</v>
      </c>
      <c r="P28" s="12">
        <f t="shared" ref="P28" si="51">1000*(O28*$J$5)/($I$5)</f>
        <v>0.29230769230770126</v>
      </c>
    </row>
    <row r="29" spans="3:16" ht="15.75" thickBot="1" x14ac:dyDescent="0.3">
      <c r="C29" s="17"/>
      <c r="D29" s="17"/>
      <c r="E29" s="9"/>
      <c r="F29" s="10" t="s">
        <v>33</v>
      </c>
      <c r="G29" s="10" t="s">
        <v>0</v>
      </c>
      <c r="H29" s="49"/>
      <c r="I29" s="49"/>
      <c r="J29" s="49"/>
      <c r="L29" s="35"/>
      <c r="M29" s="35"/>
      <c r="O29" s="35"/>
      <c r="P29" s="35"/>
    </row>
    <row r="30" spans="3:16" ht="15.75" thickBot="1" x14ac:dyDescent="0.3">
      <c r="C30" s="12">
        <v>0.28739999999999999</v>
      </c>
      <c r="D30" s="12">
        <v>1.5</v>
      </c>
      <c r="E30" s="18" t="s">
        <v>1</v>
      </c>
      <c r="F30" s="2">
        <v>792</v>
      </c>
      <c r="G30" s="2">
        <v>356</v>
      </c>
      <c r="H30" s="25"/>
      <c r="I30" s="25">
        <f t="shared" si="6"/>
        <v>784.60199999999998</v>
      </c>
      <c r="J30" s="25">
        <f t="shared" ref="J30" si="52">$I$5*((C30)/$J$5)</f>
        <v>356.63727272727272</v>
      </c>
      <c r="L30" s="12">
        <f t="shared" ref="L30" si="53">ABS(F30-I30)</f>
        <v>7.3980000000000246</v>
      </c>
      <c r="M30" s="12">
        <f t="shared" ref="M30" si="54">1000*(L30*D30)/($I$5)</f>
        <v>2.7098901098901189</v>
      </c>
      <c r="O30" s="12">
        <f t="shared" ref="O30" si="55">ABS(G30-J30)</f>
        <v>0.63727272727271611</v>
      </c>
      <c r="P30" s="12">
        <f t="shared" ref="P30" si="56">1000*(O30*$J$5)/($I$5)</f>
        <v>0.5135531135531044</v>
      </c>
    </row>
    <row r="31" spans="3:16" x14ac:dyDescent="0.25">
      <c r="J31" s="49"/>
    </row>
    <row r="32" spans="3:16" x14ac:dyDescent="0.25">
      <c r="C32" s="1" t="s">
        <v>51</v>
      </c>
    </row>
    <row r="33" spans="3:3" x14ac:dyDescent="0.25">
      <c r="C33" s="1" t="s">
        <v>53</v>
      </c>
    </row>
    <row r="34" spans="3:3" x14ac:dyDescent="0.25">
      <c r="C34" s="1" t="s">
        <v>49</v>
      </c>
    </row>
    <row r="36" spans="3:3" x14ac:dyDescent="0.25">
      <c r="C36" s="1" t="s">
        <v>52</v>
      </c>
    </row>
    <row r="37" spans="3:3" x14ac:dyDescent="0.25">
      <c r="C37" s="1" t="s">
        <v>50</v>
      </c>
    </row>
  </sheetData>
  <mergeCells count="5">
    <mergeCell ref="C25:E25"/>
    <mergeCell ref="C2:P2"/>
    <mergeCell ref="C9:E9"/>
    <mergeCell ref="C13:E13"/>
    <mergeCell ref="C19:E19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30"/>
  <sheetViews>
    <sheetView zoomScale="130" zoomScaleNormal="130" workbookViewId="0">
      <selection activeCell="L8" sqref="L8"/>
    </sheetView>
  </sheetViews>
  <sheetFormatPr baseColWidth="10" defaultRowHeight="15" x14ac:dyDescent="0.25"/>
  <cols>
    <col min="2" max="2" width="26.7109375" customWidth="1"/>
    <col min="3" max="3" width="10.85546875" customWidth="1"/>
    <col min="4" max="4" width="6.42578125" customWidth="1"/>
    <col min="5" max="5" width="10.7109375" style="1" customWidth="1"/>
    <col min="6" max="6" width="10.28515625" style="1" customWidth="1"/>
    <col min="7" max="7" width="6.7109375" customWidth="1"/>
    <col min="8" max="8" width="19" style="1" customWidth="1"/>
    <col min="9" max="9" width="5.42578125" customWidth="1"/>
    <col min="10" max="13" width="19.7109375" style="1" customWidth="1"/>
    <col min="14" max="14" width="5.5703125" customWidth="1"/>
    <col min="15" max="15" width="17.42578125" customWidth="1"/>
  </cols>
  <sheetData>
    <row r="2" spans="2:16" ht="15.75" thickBot="1" x14ac:dyDescent="0.3"/>
    <row r="3" spans="2:16" ht="15.75" thickBot="1" x14ac:dyDescent="0.3">
      <c r="E3" s="58" t="s">
        <v>26</v>
      </c>
      <c r="F3" s="59"/>
      <c r="G3" s="59"/>
      <c r="H3" s="59"/>
      <c r="I3" s="59"/>
      <c r="J3" s="59"/>
      <c r="K3" s="59"/>
      <c r="L3" s="59"/>
      <c r="M3" s="59"/>
      <c r="N3" s="59"/>
      <c r="O3" s="59"/>
      <c r="P3" s="60"/>
    </row>
    <row r="4" spans="2:16" ht="15.75" thickBot="1" x14ac:dyDescent="0.3"/>
    <row r="5" spans="2:16" ht="45.75" customHeight="1" thickBot="1" x14ac:dyDescent="0.3">
      <c r="J5" s="44" t="s">
        <v>22</v>
      </c>
      <c r="K5" s="51"/>
      <c r="L5" s="51">
        <f>(2^12)-1</f>
        <v>4095</v>
      </c>
      <c r="M5" s="51"/>
      <c r="O5" s="70" t="s">
        <v>21</v>
      </c>
      <c r="P5" s="71"/>
    </row>
    <row r="6" spans="2:16" ht="45.75" thickBot="1" x14ac:dyDescent="0.3">
      <c r="E6" s="40" t="s">
        <v>29</v>
      </c>
      <c r="F6" s="40" t="s">
        <v>6</v>
      </c>
      <c r="G6" s="11" t="s">
        <v>4</v>
      </c>
      <c r="H6" s="36" t="s">
        <v>5</v>
      </c>
      <c r="J6" s="45" t="s">
        <v>30</v>
      </c>
      <c r="K6" s="45"/>
      <c r="L6" s="45" t="s">
        <v>54</v>
      </c>
      <c r="M6" s="45"/>
      <c r="O6" s="46" t="s">
        <v>7</v>
      </c>
      <c r="P6" s="46" t="s">
        <v>44</v>
      </c>
    </row>
    <row r="7" spans="2:16" ht="15.75" thickBot="1" x14ac:dyDescent="0.3">
      <c r="B7" s="19" t="s">
        <v>9</v>
      </c>
      <c r="C7" s="19" t="s">
        <v>10</v>
      </c>
      <c r="E7" s="13"/>
      <c r="F7" s="13"/>
      <c r="G7" s="32"/>
      <c r="H7" s="33" t="s">
        <v>31</v>
      </c>
      <c r="J7" s="34" t="s">
        <v>31</v>
      </c>
      <c r="K7" s="49"/>
      <c r="M7" s="49"/>
      <c r="O7" s="35"/>
      <c r="P7" s="35"/>
    </row>
    <row r="8" spans="2:16" ht="15.75" thickBot="1" x14ac:dyDescent="0.3">
      <c r="B8" s="23" t="s">
        <v>8</v>
      </c>
      <c r="C8" s="3">
        <v>0</v>
      </c>
      <c r="E8" s="12">
        <v>2.1753999999999998</v>
      </c>
      <c r="F8" s="12">
        <v>2.5</v>
      </c>
      <c r="G8" s="18" t="s">
        <v>1</v>
      </c>
      <c r="H8" s="2">
        <v>3573</v>
      </c>
      <c r="J8" s="25">
        <f>H8*($C$9/2^15)*($C$11/2^15)+$C$8</f>
        <v>3560.896264269948</v>
      </c>
      <c r="K8" s="25"/>
      <c r="L8" s="25">
        <f>$L$5*((E8)/F8)</f>
        <v>3563.3051999999998</v>
      </c>
      <c r="M8" s="25"/>
      <c r="O8" s="12">
        <f>ABS(L8-J8)</f>
        <v>2.4089357300517804</v>
      </c>
      <c r="P8" s="12">
        <f>1000*(O8*F8)/($L$5)</f>
        <v>1.4706567338533458</v>
      </c>
    </row>
    <row r="9" spans="2:16" ht="15.75" thickBot="1" x14ac:dyDescent="0.3">
      <c r="B9" s="23" t="s">
        <v>11</v>
      </c>
      <c r="C9" s="3">
        <v>32769</v>
      </c>
      <c r="E9" s="13"/>
      <c r="F9" s="13"/>
      <c r="G9" s="32"/>
      <c r="H9" s="33" t="s">
        <v>32</v>
      </c>
      <c r="J9" s="34" t="s">
        <v>32</v>
      </c>
      <c r="K9" s="49"/>
      <c r="M9" s="49"/>
      <c r="O9" s="35"/>
      <c r="P9" s="35"/>
    </row>
    <row r="10" spans="2:16" ht="15.75" thickBot="1" x14ac:dyDescent="0.3">
      <c r="B10" s="4"/>
      <c r="C10" s="3"/>
      <c r="E10" s="12">
        <v>2.1753999999999998</v>
      </c>
      <c r="F10" s="12">
        <v>2</v>
      </c>
      <c r="G10" s="18" t="s">
        <v>1</v>
      </c>
      <c r="H10" s="2">
        <v>4095</v>
      </c>
      <c r="J10" s="25">
        <f>H10*($C$9/2^15)*($C$12/2^15)+$C$8</f>
        <v>4044.7607311187312</v>
      </c>
      <c r="K10" s="25"/>
      <c r="L10" s="25">
        <f t="shared" ref="L10" si="0">$L$5*((E10)/F10)</f>
        <v>4454.1314999999995</v>
      </c>
      <c r="M10" s="25"/>
      <c r="O10" s="12">
        <f t="shared" ref="O10" si="1">ABS(L10-J10)</f>
        <v>409.3707688812683</v>
      </c>
      <c r="P10" s="12">
        <f t="shared" ref="P10" si="2">1000*(O10*F10)/($L$5)</f>
        <v>199.93688345849492</v>
      </c>
    </row>
    <row r="11" spans="2:16" ht="15.75" thickBot="1" x14ac:dyDescent="0.3">
      <c r="B11" s="22" t="s">
        <v>15</v>
      </c>
      <c r="C11" s="3">
        <v>32656</v>
      </c>
      <c r="E11" s="13"/>
      <c r="F11" s="13"/>
      <c r="G11" s="32"/>
      <c r="H11" s="33" t="s">
        <v>33</v>
      </c>
      <c r="J11" s="34" t="s">
        <v>33</v>
      </c>
      <c r="K11" s="49"/>
      <c r="M11" s="49"/>
      <c r="O11" s="35"/>
      <c r="P11" s="35"/>
    </row>
    <row r="12" spans="2:16" ht="15.75" thickBot="1" x14ac:dyDescent="0.3">
      <c r="B12" s="22" t="s">
        <v>14</v>
      </c>
      <c r="C12" s="3">
        <v>32365</v>
      </c>
      <c r="E12" s="12">
        <v>2.1753999999999998</v>
      </c>
      <c r="F12" s="12">
        <v>1.5</v>
      </c>
      <c r="G12" s="18" t="s">
        <v>1</v>
      </c>
      <c r="H12" s="2">
        <v>4095</v>
      </c>
      <c r="J12" s="25">
        <f>H12*($C$9/2^15)*($C$13/2^15)+$C$8</f>
        <v>4062.6319124735892</v>
      </c>
      <c r="K12" s="25"/>
      <c r="L12" s="25">
        <f t="shared" ref="L12" si="3">$L$5*((E12)/F12)</f>
        <v>5938.8419999999996</v>
      </c>
      <c r="M12" s="25"/>
      <c r="O12" s="12">
        <f t="shared" ref="O12" si="4">ABS(L12-J12)</f>
        <v>1876.2100875264105</v>
      </c>
      <c r="P12" s="12">
        <f t="shared" ref="P12" si="5">1000*(O12*F12)/($L$5)</f>
        <v>687.25644231736646</v>
      </c>
    </row>
    <row r="13" spans="2:16" ht="15.75" thickBot="1" x14ac:dyDescent="0.3">
      <c r="B13" s="22" t="s">
        <v>13</v>
      </c>
      <c r="C13" s="3">
        <v>32508</v>
      </c>
      <c r="E13" s="15"/>
      <c r="F13" s="15"/>
      <c r="G13" s="5"/>
      <c r="H13" s="6" t="s">
        <v>31</v>
      </c>
      <c r="J13" s="26" t="s">
        <v>31</v>
      </c>
      <c r="K13" s="49"/>
      <c r="M13" s="49"/>
      <c r="O13" s="35"/>
      <c r="P13" s="35"/>
    </row>
    <row r="14" spans="2:16" ht="15.75" thickBot="1" x14ac:dyDescent="0.3">
      <c r="B14" s="4"/>
      <c r="C14" s="3"/>
      <c r="E14" s="12">
        <v>1.7094</v>
      </c>
      <c r="F14" s="12">
        <v>2.5</v>
      </c>
      <c r="G14" s="18" t="s">
        <v>1</v>
      </c>
      <c r="H14" s="2">
        <v>2806</v>
      </c>
      <c r="J14" s="25">
        <f>H14*($C$9/2^15)*($C$11/2^15)+$C$8</f>
        <v>2796.4945193231106</v>
      </c>
      <c r="K14" s="25"/>
      <c r="L14" s="25">
        <f t="shared" ref="L14" si="6">$L$5*((E14)/F14)</f>
        <v>2799.9972000000002</v>
      </c>
      <c r="M14" s="25"/>
      <c r="O14" s="12">
        <f t="shared" ref="O14" si="7">ABS(L14-J14)</f>
        <v>3.5026806768896677</v>
      </c>
      <c r="P14" s="12">
        <f t="shared" ref="P14" si="8">1000*(O14*F14)/($L$5)</f>
        <v>2.1383886916298338</v>
      </c>
    </row>
    <row r="15" spans="2:16" ht="15.75" thickBot="1" x14ac:dyDescent="0.3">
      <c r="B15" s="20" t="s">
        <v>17</v>
      </c>
      <c r="C15" s="3">
        <v>1262</v>
      </c>
      <c r="E15" s="15"/>
      <c r="F15" s="15"/>
      <c r="G15" s="5"/>
      <c r="H15" s="6" t="s">
        <v>32</v>
      </c>
      <c r="J15" s="26" t="s">
        <v>32</v>
      </c>
      <c r="K15" s="49"/>
      <c r="M15" s="49"/>
      <c r="O15" s="35"/>
      <c r="P15" s="35"/>
    </row>
    <row r="16" spans="2:16" ht="15.75" thickBot="1" x14ac:dyDescent="0.3">
      <c r="B16" s="20" t="s">
        <v>16</v>
      </c>
      <c r="C16" s="3">
        <v>1588</v>
      </c>
      <c r="E16" s="12">
        <v>1.7094</v>
      </c>
      <c r="F16" s="12">
        <v>2</v>
      </c>
      <c r="G16" s="18" t="s">
        <v>1</v>
      </c>
      <c r="H16" s="2">
        <v>3544</v>
      </c>
      <c r="J16" s="25">
        <f>H16*($C$9/2^15)*($C$12/2^15)+$C$8</f>
        <v>3500.5206425115466</v>
      </c>
      <c r="K16" s="25"/>
      <c r="L16" s="25">
        <f t="shared" ref="L16" si="9">$L$5*((E16)/F16)</f>
        <v>3499.9965000000002</v>
      </c>
      <c r="M16" s="25"/>
      <c r="O16" s="12">
        <f t="shared" ref="O16" si="10">ABS(L16-J16)</f>
        <v>0.52414251154641534</v>
      </c>
      <c r="P16" s="12">
        <f t="shared" ref="P16" si="11">1000*(O16*F16)/($L$5)</f>
        <v>0.25599145863072786</v>
      </c>
    </row>
    <row r="17" spans="2:16" ht="15.75" thickBot="1" x14ac:dyDescent="0.3">
      <c r="B17" s="20" t="s">
        <v>12</v>
      </c>
      <c r="C17" s="3">
        <v>2107</v>
      </c>
      <c r="E17" s="15"/>
      <c r="F17" s="15"/>
      <c r="G17" s="5"/>
      <c r="H17" s="6" t="s">
        <v>33</v>
      </c>
      <c r="J17" s="26" t="s">
        <v>33</v>
      </c>
      <c r="K17" s="49"/>
      <c r="M17" s="49"/>
      <c r="O17" s="35"/>
      <c r="P17" s="35"/>
    </row>
    <row r="18" spans="2:16" ht="15.75" thickBot="1" x14ac:dyDescent="0.3">
      <c r="B18" s="4"/>
      <c r="C18" s="3"/>
      <c r="E18" s="12">
        <v>1.7094</v>
      </c>
      <c r="F18" s="12">
        <v>1.5</v>
      </c>
      <c r="G18" s="18" t="s">
        <v>1</v>
      </c>
      <c r="H18" s="2">
        <v>4095</v>
      </c>
      <c r="J18" s="25">
        <f>H18*($C$9/2^15)*($C$13/2^15)+$C$8</f>
        <v>4062.6319124735892</v>
      </c>
      <c r="K18" s="25"/>
      <c r="L18" s="25">
        <f t="shared" ref="L18" si="12">$L$5*((E18)/F18)</f>
        <v>4666.6619999999994</v>
      </c>
      <c r="M18" s="25"/>
      <c r="O18" s="12">
        <f t="shared" ref="O18" si="13">ABS(L18-J18)</f>
        <v>604.03008752641017</v>
      </c>
      <c r="P18" s="12">
        <f t="shared" ref="P18" si="14">1000*(O18*F18)/($L$5)</f>
        <v>221.25644231736638</v>
      </c>
    </row>
    <row r="19" spans="2:16" ht="15.75" thickBot="1" x14ac:dyDescent="0.3">
      <c r="B19" s="21" t="s">
        <v>18</v>
      </c>
      <c r="C19" s="3">
        <v>1485</v>
      </c>
      <c r="E19" s="16"/>
      <c r="F19" s="16"/>
      <c r="G19" s="7"/>
      <c r="H19" s="8" t="s">
        <v>31</v>
      </c>
      <c r="J19" s="27" t="s">
        <v>31</v>
      </c>
      <c r="K19" s="49"/>
      <c r="M19" s="49"/>
      <c r="O19" s="35"/>
      <c r="P19" s="35"/>
    </row>
    <row r="20" spans="2:16" ht="15.75" thickBot="1" x14ac:dyDescent="0.3">
      <c r="B20" s="21" t="s">
        <v>19</v>
      </c>
      <c r="C20" s="3">
        <v>1872</v>
      </c>
      <c r="E20" s="12">
        <v>0.8649</v>
      </c>
      <c r="F20" s="12">
        <v>2.5</v>
      </c>
      <c r="G20" s="18" t="s">
        <v>1</v>
      </c>
      <c r="H20" s="2">
        <v>1422</v>
      </c>
      <c r="J20" s="25">
        <f>H20*($C$9/2^15)*($C$11/2^15)+$C$8</f>
        <v>1417.1828961074352</v>
      </c>
      <c r="K20" s="25"/>
      <c r="L20" s="25">
        <f t="shared" ref="L20" si="15">$L$5*((E20)/F20)</f>
        <v>1416.7061999999999</v>
      </c>
      <c r="M20" s="25"/>
      <c r="O20" s="12">
        <f t="shared" ref="O20" si="16">ABS(L20-J20)</f>
        <v>0.47669610743537305</v>
      </c>
      <c r="P20" s="12">
        <f t="shared" ref="P20" si="17">1000*(O20*F20)/($L$5)</f>
        <v>0.29102326461255984</v>
      </c>
    </row>
    <row r="21" spans="2:16" ht="15.75" thickBot="1" x14ac:dyDescent="0.3">
      <c r="B21" s="21" t="s">
        <v>20</v>
      </c>
      <c r="C21" s="3">
        <v>2482</v>
      </c>
      <c r="E21" s="16"/>
      <c r="F21" s="16"/>
      <c r="G21" s="7"/>
      <c r="H21" s="8" t="s">
        <v>32</v>
      </c>
      <c r="J21" s="27" t="s">
        <v>32</v>
      </c>
      <c r="K21" s="49"/>
      <c r="M21" s="49"/>
      <c r="O21" s="35"/>
      <c r="P21" s="35"/>
    </row>
    <row r="22" spans="2:16" ht="15.75" thickBot="1" x14ac:dyDescent="0.3">
      <c r="E22" s="12">
        <v>0.8649</v>
      </c>
      <c r="F22" s="12">
        <v>2</v>
      </c>
      <c r="G22" s="18" t="s">
        <v>1</v>
      </c>
      <c r="H22" s="2">
        <v>1799</v>
      </c>
      <c r="J22" s="25">
        <f>H22*($C$9/2^15)*($C$12/2^15)+$C$8</f>
        <v>1776.9290733290836</v>
      </c>
      <c r="K22" s="25"/>
      <c r="L22" s="25">
        <f t="shared" ref="L22" si="18">$L$5*((E22)/F22)</f>
        <v>1770.88275</v>
      </c>
      <c r="M22" s="25"/>
      <c r="O22" s="12">
        <f t="shared" ref="O22" si="19">ABS(L22-J22)</f>
        <v>6.0463233290836342</v>
      </c>
      <c r="P22" s="12">
        <f t="shared" ref="P22" si="20">1000*(O22*F22)/($L$5)</f>
        <v>2.9530272669517137</v>
      </c>
    </row>
    <row r="23" spans="2:16" ht="15.75" thickBot="1" x14ac:dyDescent="0.3">
      <c r="E23" s="16"/>
      <c r="F23" s="16"/>
      <c r="G23" s="7"/>
      <c r="H23" s="8" t="s">
        <v>33</v>
      </c>
      <c r="J23" s="27" t="s">
        <v>33</v>
      </c>
      <c r="K23" s="49"/>
      <c r="M23" s="49"/>
      <c r="O23" s="35"/>
      <c r="P23" s="35"/>
    </row>
    <row r="24" spans="2:16" ht="15.75" thickBot="1" x14ac:dyDescent="0.3">
      <c r="E24" s="12">
        <v>0.8649</v>
      </c>
      <c r="F24" s="12">
        <v>1.5</v>
      </c>
      <c r="G24" s="18" t="s">
        <v>1</v>
      </c>
      <c r="H24" s="2">
        <v>2377</v>
      </c>
      <c r="J24" s="25">
        <f>H24*($C$9/2^15)*($C$13/2^15)+$C$8</f>
        <v>2358.2114910744131</v>
      </c>
      <c r="K24" s="25"/>
      <c r="L24" s="25">
        <f t="shared" ref="L24" si="21">$L$5*((E24)/F24)</f>
        <v>2361.1770000000001</v>
      </c>
      <c r="M24" s="25"/>
      <c r="O24" s="12">
        <f t="shared" ref="O24" si="22">ABS(L24-J24)</f>
        <v>2.9655089255870735</v>
      </c>
      <c r="P24" s="12">
        <f t="shared" ref="P24" si="23">1000*(O24*F24)/($L$5)</f>
        <v>1.0862670057095507</v>
      </c>
    </row>
    <row r="25" spans="2:16" ht="15.75" thickBot="1" x14ac:dyDescent="0.3">
      <c r="E25" s="17"/>
      <c r="F25" s="17"/>
      <c r="G25" s="9"/>
      <c r="H25" s="10" t="s">
        <v>31</v>
      </c>
      <c r="J25" s="28" t="s">
        <v>31</v>
      </c>
      <c r="K25" s="49"/>
      <c r="M25" s="49"/>
      <c r="O25" s="35"/>
      <c r="P25" s="35"/>
    </row>
    <row r="26" spans="2:16" ht="15.75" thickBot="1" x14ac:dyDescent="0.3">
      <c r="E26" s="12">
        <v>0.28739999999999999</v>
      </c>
      <c r="F26" s="12">
        <v>2.5</v>
      </c>
      <c r="G26" s="18" t="s">
        <v>1</v>
      </c>
      <c r="H26" s="2">
        <v>475</v>
      </c>
      <c r="J26" s="25">
        <f>H26*($C$9/2^15)*($C$11/2^15)+$C$8</f>
        <v>473.39091114699841</v>
      </c>
      <c r="K26" s="25"/>
      <c r="L26" s="25">
        <f t="shared" ref="L26" si="24">$L$5*((E26)/F26)</f>
        <v>470.76119999999997</v>
      </c>
      <c r="M26" s="25"/>
      <c r="O26" s="12">
        <f t="shared" ref="O26" si="25">ABS(L26-J26)</f>
        <v>2.6297111469984316</v>
      </c>
      <c r="P26" s="12">
        <f t="shared" ref="P26" si="26">1000*(O26*F26)/($L$5)</f>
        <v>1.6054402606828031</v>
      </c>
    </row>
    <row r="27" spans="2:16" ht="15.75" thickBot="1" x14ac:dyDescent="0.3">
      <c r="E27" s="17"/>
      <c r="F27" s="17"/>
      <c r="G27" s="9"/>
      <c r="H27" s="10" t="s">
        <v>32</v>
      </c>
      <c r="J27" s="28" t="s">
        <v>32</v>
      </c>
      <c r="K27" s="49"/>
      <c r="M27" s="49"/>
      <c r="O27" s="35"/>
      <c r="P27" s="35"/>
    </row>
    <row r="28" spans="2:16" ht="15.75" thickBot="1" x14ac:dyDescent="0.3">
      <c r="E28" s="12">
        <v>0.28739999999999999</v>
      </c>
      <c r="F28" s="12">
        <v>2</v>
      </c>
      <c r="G28" s="18" t="s">
        <v>1</v>
      </c>
      <c r="H28" s="2">
        <v>595</v>
      </c>
      <c r="J28" s="25">
        <f>H28*($C$9/2^15)*($C$12/2^15)+$C$8</f>
        <v>587.7002771710977</v>
      </c>
      <c r="K28" s="25"/>
      <c r="L28" s="25">
        <f t="shared" ref="L28" si="27">$L$5*((E28)/F28)</f>
        <v>588.45150000000001</v>
      </c>
      <c r="M28" s="25"/>
      <c r="O28" s="12">
        <f t="shared" ref="O28" si="28">ABS(L28-J28)</f>
        <v>0.75122282890231418</v>
      </c>
      <c r="P28" s="12">
        <f t="shared" ref="P28" si="29">1000*(O28*F28)/($L$5)</f>
        <v>0.3668975965334868</v>
      </c>
    </row>
    <row r="29" spans="2:16" ht="15.75" thickBot="1" x14ac:dyDescent="0.3">
      <c r="E29" s="17"/>
      <c r="F29" s="17"/>
      <c r="G29" s="9"/>
      <c r="H29" s="10" t="s">
        <v>33</v>
      </c>
      <c r="J29" s="28" t="s">
        <v>33</v>
      </c>
      <c r="K29" s="49"/>
      <c r="M29" s="49"/>
      <c r="O29" s="35"/>
      <c r="P29" s="35"/>
    </row>
    <row r="30" spans="2:16" ht="15.75" thickBot="1" x14ac:dyDescent="0.3">
      <c r="E30" s="12">
        <v>0.28739999999999999</v>
      </c>
      <c r="F30" s="12">
        <v>1.5</v>
      </c>
      <c r="G30" s="18" t="s">
        <v>1</v>
      </c>
      <c r="H30" s="2">
        <v>792</v>
      </c>
      <c r="J30" s="25">
        <f>H30*($C$9/2^15)*($C$13/2^15)+$C$8</f>
        <v>785.73979845643044</v>
      </c>
      <c r="K30" s="25"/>
      <c r="L30" s="25">
        <f t="shared" ref="L30" si="30">$L$5*((E30)/F30)</f>
        <v>784.60199999999998</v>
      </c>
      <c r="M30" s="25"/>
      <c r="O30" s="12">
        <f t="shared" ref="O30" si="31">ABS(L30-J30)</f>
        <v>1.1377984564304597</v>
      </c>
      <c r="P30" s="12">
        <f t="shared" ref="P30" si="32">1000*(O30*F30)/($L$5)</f>
        <v>0.41677599136646876</v>
      </c>
    </row>
  </sheetData>
  <mergeCells count="2">
    <mergeCell ref="O5:P5"/>
    <mergeCell ref="E3:P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22"/>
  <sheetViews>
    <sheetView tabSelected="1" zoomScaleNormal="100" workbookViewId="0">
      <selection activeCell="C16" sqref="C16:C18"/>
    </sheetView>
  </sheetViews>
  <sheetFormatPr baseColWidth="10" defaultRowHeight="15" x14ac:dyDescent="0.25"/>
  <cols>
    <col min="2" max="2" width="26.7109375" customWidth="1"/>
    <col min="3" max="3" width="20.42578125" customWidth="1"/>
    <col min="5" max="5" width="21.85546875" style="1" customWidth="1"/>
    <col min="6" max="6" width="18" style="1" customWidth="1"/>
    <col min="7" max="7" width="13.140625" customWidth="1"/>
    <col min="8" max="8" width="31.85546875" style="1" customWidth="1"/>
    <col min="9" max="9" width="18.28515625" style="1" customWidth="1"/>
    <col min="10" max="10" width="14.28515625" style="1" customWidth="1"/>
    <col min="13" max="13" width="31.85546875" style="1" customWidth="1"/>
  </cols>
  <sheetData>
    <row r="2" spans="2:13" ht="15.75" thickBot="1" x14ac:dyDescent="0.3"/>
    <row r="3" spans="2:13" ht="15.75" thickBot="1" x14ac:dyDescent="0.3">
      <c r="E3" s="58" t="s">
        <v>27</v>
      </c>
      <c r="F3" s="62"/>
      <c r="G3" s="62"/>
      <c r="H3" s="62"/>
      <c r="I3" s="62"/>
      <c r="J3" s="62"/>
      <c r="K3" s="62"/>
      <c r="L3" s="62"/>
      <c r="M3" s="63"/>
    </row>
    <row r="5" spans="2:13" ht="15.75" thickBot="1" x14ac:dyDescent="0.3"/>
    <row r="6" spans="2:13" ht="15.75" thickBot="1" x14ac:dyDescent="0.3">
      <c r="M6" s="29" t="s">
        <v>22</v>
      </c>
    </row>
    <row r="7" spans="2:13" ht="15.75" thickBot="1" x14ac:dyDescent="0.3">
      <c r="E7" s="14" t="s">
        <v>24</v>
      </c>
      <c r="F7" s="14" t="s">
        <v>6</v>
      </c>
      <c r="G7" s="11" t="s">
        <v>4</v>
      </c>
      <c r="H7" s="14" t="s">
        <v>5</v>
      </c>
      <c r="I7" s="24"/>
      <c r="J7" s="24" t="s">
        <v>55</v>
      </c>
      <c r="K7" s="50" t="s">
        <v>56</v>
      </c>
      <c r="M7" s="24" t="s">
        <v>23</v>
      </c>
    </row>
    <row r="8" spans="2:13" ht="15.75" thickBot="1" x14ac:dyDescent="0.3">
      <c r="B8" s="19" t="s">
        <v>9</v>
      </c>
      <c r="C8" s="19" t="s">
        <v>10</v>
      </c>
      <c r="E8" s="13"/>
      <c r="F8" s="13"/>
      <c r="G8" s="32"/>
      <c r="H8" s="33" t="s">
        <v>31</v>
      </c>
      <c r="I8" s="49"/>
      <c r="J8" s="49"/>
      <c r="M8" s="30" t="s">
        <v>31</v>
      </c>
    </row>
    <row r="9" spans="2:13" ht="15.75" thickBot="1" x14ac:dyDescent="0.3">
      <c r="B9" s="23" t="s">
        <v>8</v>
      </c>
      <c r="C9" s="3">
        <v>0</v>
      </c>
      <c r="E9" s="12" t="s">
        <v>35</v>
      </c>
      <c r="F9" s="12">
        <v>2.5</v>
      </c>
      <c r="G9" s="18" t="s">
        <v>3</v>
      </c>
      <c r="H9" s="2">
        <v>1261</v>
      </c>
      <c r="I9" s="25"/>
      <c r="J9" s="25">
        <f>(85-30)*(H9-$C$16)/($C$20-$C$16)+30</f>
        <v>29.753363228699552</v>
      </c>
      <c r="K9">
        <f>SUM(J9:J12)/4</f>
        <v>29.938340807174889</v>
      </c>
      <c r="M9" s="31">
        <f>K9</f>
        <v>29.938340807174889</v>
      </c>
    </row>
    <row r="10" spans="2:13" ht="15.75" thickBot="1" x14ac:dyDescent="0.3">
      <c r="B10" s="23" t="s">
        <v>11</v>
      </c>
      <c r="C10" s="3">
        <v>32769</v>
      </c>
      <c r="E10" s="12" t="s">
        <v>36</v>
      </c>
      <c r="F10" s="12">
        <v>2.5</v>
      </c>
      <c r="G10" s="18" t="s">
        <v>3</v>
      </c>
      <c r="H10" s="2">
        <v>1261</v>
      </c>
      <c r="I10" s="25"/>
      <c r="J10" s="25">
        <f t="shared" ref="J10:J12" si="0">(85-30)*(H10-$C$16)/($C$20-$C$16)+30</f>
        <v>29.753363228699552</v>
      </c>
      <c r="M10" s="30" t="s">
        <v>32</v>
      </c>
    </row>
    <row r="11" spans="2:13" ht="15.75" thickBot="1" x14ac:dyDescent="0.3">
      <c r="B11" s="4"/>
      <c r="C11" s="3"/>
      <c r="E11" s="12" t="s">
        <v>37</v>
      </c>
      <c r="F11" s="12">
        <v>2.5</v>
      </c>
      <c r="G11" s="18" t="s">
        <v>3</v>
      </c>
      <c r="H11" s="2">
        <v>1265</v>
      </c>
      <c r="I11" s="25"/>
      <c r="J11" s="25">
        <f t="shared" si="0"/>
        <v>30.739910313901344</v>
      </c>
      <c r="M11" s="31">
        <f>K14</f>
        <v>30.580985915492956</v>
      </c>
    </row>
    <row r="12" spans="2:13" ht="15.75" thickBot="1" x14ac:dyDescent="0.3">
      <c r="B12" s="22" t="s">
        <v>15</v>
      </c>
      <c r="C12" s="3">
        <v>32656</v>
      </c>
      <c r="E12" s="12" t="s">
        <v>38</v>
      </c>
      <c r="F12" s="12">
        <v>2.5</v>
      </c>
      <c r="G12" s="18" t="s">
        <v>3</v>
      </c>
      <c r="H12" s="2">
        <v>1260</v>
      </c>
      <c r="I12" s="25"/>
      <c r="J12" s="25">
        <f t="shared" si="0"/>
        <v>29.506726457399104</v>
      </c>
      <c r="M12" s="30" t="s">
        <v>33</v>
      </c>
    </row>
    <row r="13" spans="2:13" ht="15.75" thickBot="1" x14ac:dyDescent="0.3">
      <c r="B13" s="22" t="s">
        <v>14</v>
      </c>
      <c r="C13" s="3">
        <v>32365</v>
      </c>
      <c r="E13" s="15"/>
      <c r="F13" s="15"/>
      <c r="G13" s="5"/>
      <c r="H13" s="6" t="s">
        <v>32</v>
      </c>
      <c r="I13" s="49"/>
      <c r="J13" s="49"/>
      <c r="M13" s="72">
        <f>K19</f>
        <v>30.073333333333334</v>
      </c>
    </row>
    <row r="14" spans="2:13" ht="15.75" thickBot="1" x14ac:dyDescent="0.3">
      <c r="B14" s="22" t="s">
        <v>13</v>
      </c>
      <c r="C14" s="3">
        <v>32508</v>
      </c>
      <c r="E14" s="12" t="s">
        <v>35</v>
      </c>
      <c r="F14" s="12">
        <v>2</v>
      </c>
      <c r="G14" s="18" t="s">
        <v>3</v>
      </c>
      <c r="H14" s="2">
        <v>1588</v>
      </c>
      <c r="I14" s="25"/>
      <c r="J14" s="25">
        <f>(85-30)*(H14-$C$17)/($C$21-$C$17)+30</f>
        <v>30</v>
      </c>
      <c r="K14">
        <f>SUM(J14:J17)/4</f>
        <v>30.580985915492956</v>
      </c>
    </row>
    <row r="15" spans="2:13" ht="15.75" thickBot="1" x14ac:dyDescent="0.3">
      <c r="B15" s="4"/>
      <c r="C15" s="3"/>
      <c r="E15" s="12" t="s">
        <v>36</v>
      </c>
      <c r="F15" s="12">
        <v>2</v>
      </c>
      <c r="G15" s="18" t="s">
        <v>3</v>
      </c>
      <c r="H15" s="2">
        <v>1597</v>
      </c>
      <c r="I15" s="25"/>
      <c r="J15" s="25">
        <f t="shared" ref="J15:J17" si="1">(85-30)*(H15-$C$17)/($C$21-$C$17)+30</f>
        <v>31.742957746478872</v>
      </c>
    </row>
    <row r="16" spans="2:13" ht="15.75" thickBot="1" x14ac:dyDescent="0.3">
      <c r="B16" s="20" t="s">
        <v>17</v>
      </c>
      <c r="C16" s="3">
        <v>1262</v>
      </c>
      <c r="E16" s="12" t="s">
        <v>37</v>
      </c>
      <c r="F16" s="12">
        <v>2</v>
      </c>
      <c r="G16" s="18" t="s">
        <v>3</v>
      </c>
      <c r="H16" s="2">
        <v>1593</v>
      </c>
      <c r="I16" s="25"/>
      <c r="J16" s="25">
        <f t="shared" si="1"/>
        <v>30.968309859154928</v>
      </c>
    </row>
    <row r="17" spans="2:11" ht="15.75" thickBot="1" x14ac:dyDescent="0.3">
      <c r="B17" s="20" t="s">
        <v>16</v>
      </c>
      <c r="C17" s="3">
        <v>1588</v>
      </c>
      <c r="E17" s="12" t="s">
        <v>38</v>
      </c>
      <c r="F17" s="12">
        <v>2</v>
      </c>
      <c r="G17" s="18" t="s">
        <v>3</v>
      </c>
      <c r="H17" s="2">
        <v>1586</v>
      </c>
      <c r="I17" s="25"/>
      <c r="J17" s="25">
        <f t="shared" si="1"/>
        <v>29.612676056338028</v>
      </c>
    </row>
    <row r="18" spans="2:11" ht="15.75" thickBot="1" x14ac:dyDescent="0.3">
      <c r="B18" s="20" t="s">
        <v>12</v>
      </c>
      <c r="C18" s="3">
        <v>2107</v>
      </c>
      <c r="E18" s="16"/>
      <c r="F18" s="16"/>
      <c r="G18" s="7"/>
      <c r="H18" s="8" t="s">
        <v>33</v>
      </c>
      <c r="I18" s="49"/>
      <c r="J18" s="49"/>
    </row>
    <row r="19" spans="2:11" ht="15.75" thickBot="1" x14ac:dyDescent="0.3">
      <c r="B19" s="4"/>
      <c r="C19" s="3"/>
      <c r="E19" s="12" t="s">
        <v>35</v>
      </c>
      <c r="F19" s="12">
        <v>1.5</v>
      </c>
      <c r="G19" s="18" t="s">
        <v>3</v>
      </c>
      <c r="H19" s="2">
        <v>2112</v>
      </c>
      <c r="I19" s="25"/>
      <c r="J19" s="25">
        <f>(85-30)*(H19-$C$18)/($C$22-$C$18)+30</f>
        <v>30.733333333333334</v>
      </c>
      <c r="K19">
        <f>SUM(J19:J22)/4</f>
        <v>30.073333333333334</v>
      </c>
    </row>
    <row r="20" spans="2:11" ht="15.75" thickBot="1" x14ac:dyDescent="0.3">
      <c r="B20" s="21" t="s">
        <v>18</v>
      </c>
      <c r="C20" s="3">
        <v>1485</v>
      </c>
      <c r="E20" s="12" t="s">
        <v>36</v>
      </c>
      <c r="F20" s="12">
        <v>1.5</v>
      </c>
      <c r="G20" s="18" t="s">
        <v>3</v>
      </c>
      <c r="H20" s="2">
        <v>2103</v>
      </c>
      <c r="I20" s="25"/>
      <c r="J20" s="25">
        <f t="shared" ref="J20:J22" si="2">(85-30)*(H20-$C$18)/($C$22-$C$18)+30</f>
        <v>29.413333333333334</v>
      </c>
    </row>
    <row r="21" spans="2:11" ht="15.75" thickBot="1" x14ac:dyDescent="0.3">
      <c r="B21" s="21" t="s">
        <v>19</v>
      </c>
      <c r="C21" s="3">
        <v>1872</v>
      </c>
      <c r="E21" s="12" t="s">
        <v>37</v>
      </c>
      <c r="F21" s="12">
        <v>1.5</v>
      </c>
      <c r="G21" s="18" t="s">
        <v>3</v>
      </c>
      <c r="H21" s="2">
        <v>2108</v>
      </c>
      <c r="I21" s="25"/>
      <c r="J21" s="25">
        <f t="shared" si="2"/>
        <v>30.146666666666668</v>
      </c>
    </row>
    <row r="22" spans="2:11" ht="15.75" thickBot="1" x14ac:dyDescent="0.3">
      <c r="B22" s="21" t="s">
        <v>20</v>
      </c>
      <c r="C22" s="3">
        <v>2482</v>
      </c>
      <c r="E22" s="12" t="s">
        <v>38</v>
      </c>
      <c r="F22" s="12">
        <v>1.5</v>
      </c>
      <c r="G22" s="18" t="s">
        <v>3</v>
      </c>
      <c r="H22" s="2">
        <v>2107</v>
      </c>
      <c r="I22" s="25"/>
      <c r="J22" s="25">
        <f t="shared" si="2"/>
        <v>30</v>
      </c>
    </row>
  </sheetData>
  <mergeCells count="1">
    <mergeCell ref="E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MEDIDAS_ADC</vt:lpstr>
      <vt:lpstr>MEDIDAS_ADC _A0_ERROR (EC12a)</vt:lpstr>
      <vt:lpstr>MEDIDAS_ADC_A0_CALIBRAR(EC12b1)</vt:lpstr>
      <vt:lpstr>MEDIDAS_ADC_A10_CALIBRAR(EC12b2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</dc:creator>
  <cp:lastModifiedBy>Carlos Gomez</cp:lastModifiedBy>
  <dcterms:created xsi:type="dcterms:W3CDTF">2018-02-02T21:44:30Z</dcterms:created>
  <dcterms:modified xsi:type="dcterms:W3CDTF">2026-01-07T17:39:17Z</dcterms:modified>
</cp:coreProperties>
</file>